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13_ncr:1_{7236D43A-124D-B045-8EED-EB6003837500}" xr6:coauthVersionLast="47" xr6:coauthVersionMax="47" xr10:uidLastSave="{00000000-0000-0000-0000-000000000000}"/>
  <bookViews>
    <workbookView xWindow="0" yWindow="500" windowWidth="28800" windowHeight="158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" l="1"/>
  <c r="P8" i="2"/>
  <c r="P10" i="2"/>
  <c r="Q5" i="2"/>
  <c r="Q4" i="2"/>
  <c r="Q3" i="2"/>
  <c r="P5" i="2"/>
  <c r="P4" i="2"/>
  <c r="P3" i="2"/>
  <c r="O5" i="2"/>
  <c r="O4" i="2"/>
  <c r="O3" i="2"/>
  <c r="N5" i="2"/>
  <c r="N4" i="2"/>
  <c r="N3" i="2"/>
  <c r="M5" i="2"/>
  <c r="M4" i="2"/>
  <c r="M3" i="2"/>
  <c r="L5" i="2"/>
  <c r="L4" i="2"/>
  <c r="L3" i="2"/>
  <c r="L26" i="1" a="1"/>
  <c r="L26" i="1" s="1"/>
  <c r="M26" i="1"/>
  <c r="N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3" i="1"/>
  <c r="M13" i="1"/>
  <c r="L13" i="1"/>
  <c r="I13" i="1"/>
  <c r="K13" i="1" s="1"/>
  <c r="H13" i="1"/>
  <c r="J13" i="1" s="1"/>
  <c r="G13" i="1"/>
  <c r="N12" i="1"/>
  <c r="M12" i="1"/>
  <c r="L12" i="1"/>
  <c r="I12" i="1"/>
  <c r="K12" i="1" s="1"/>
  <c r="H12" i="1"/>
  <c r="G12" i="1"/>
  <c r="N11" i="1"/>
  <c r="M11" i="1"/>
  <c r="L11" i="1"/>
  <c r="I11" i="1"/>
  <c r="H11" i="1"/>
  <c r="G11" i="1"/>
  <c r="N10" i="1"/>
  <c r="M10" i="1"/>
  <c r="L10" i="1"/>
  <c r="I10" i="1"/>
  <c r="K10" i="1" s="1"/>
  <c r="H10" i="1"/>
  <c r="J10" i="1" s="1"/>
  <c r="G10" i="1"/>
  <c r="N9" i="1"/>
  <c r="M9" i="1"/>
  <c r="L9" i="1"/>
  <c r="I9" i="1"/>
  <c r="H9" i="1"/>
  <c r="J9" i="1" s="1"/>
  <c r="G9" i="1"/>
  <c r="N8" i="1"/>
  <c r="M8" i="1"/>
  <c r="L8" i="1"/>
  <c r="I8" i="1"/>
  <c r="H8" i="1"/>
  <c r="G8" i="1"/>
  <c r="N7" i="1"/>
  <c r="M7" i="1"/>
  <c r="L7" i="1"/>
  <c r="I7" i="1"/>
  <c r="H7" i="1"/>
  <c r="G7" i="1"/>
  <c r="N6" i="1"/>
  <c r="M6" i="1"/>
  <c r="L6" i="1"/>
  <c r="I6" i="1"/>
  <c r="K6" i="1" s="1"/>
  <c r="H6" i="1"/>
  <c r="G6" i="1"/>
  <c r="N5" i="1"/>
  <c r="M5" i="1"/>
  <c r="L5" i="1"/>
  <c r="I5" i="1"/>
  <c r="H5" i="1"/>
  <c r="G5" i="1"/>
  <c r="N4" i="1"/>
  <c r="M4" i="1"/>
  <c r="L4" i="1"/>
  <c r="I4" i="1"/>
  <c r="H4" i="1"/>
  <c r="G4" i="1"/>
  <c r="N3" i="1"/>
  <c r="M3" i="1"/>
  <c r="L3" i="1"/>
  <c r="I3" i="1"/>
  <c r="H3" i="1"/>
  <c r="G3" i="1"/>
  <c r="N2" i="1"/>
  <c r="M2" i="1"/>
  <c r="L2" i="1"/>
  <c r="I2" i="1"/>
  <c r="K2" i="1" s="1"/>
  <c r="H2" i="1"/>
  <c r="G2" i="1"/>
  <c r="K8" i="1" l="1"/>
  <c r="J3" i="1"/>
  <c r="J7" i="1"/>
  <c r="J11" i="1"/>
  <c r="J5" i="1"/>
  <c r="K5" i="1"/>
  <c r="K4" i="1"/>
  <c r="K3" i="1"/>
  <c r="J6" i="1"/>
  <c r="K7" i="1"/>
  <c r="K11" i="1"/>
  <c r="K9" i="1"/>
  <c r="J4" i="1"/>
  <c r="R3" i="1" s="1"/>
  <c r="J8" i="1"/>
  <c r="J12" i="1"/>
  <c r="S17" i="1"/>
  <c r="H48" i="1"/>
  <c r="J2" i="1"/>
  <c r="P16" i="1"/>
  <c r="P27" i="1"/>
  <c r="P22" i="1"/>
  <c r="P24" i="1"/>
  <c r="P23" i="1"/>
  <c r="P20" i="1"/>
  <c r="P19" i="1"/>
  <c r="P18" i="1"/>
  <c r="P26" i="1"/>
  <c r="P17" i="1"/>
  <c r="P21" i="1"/>
  <c r="P25" i="1"/>
  <c r="R9" i="1" l="1"/>
  <c r="R8" i="1"/>
  <c r="R7" i="1"/>
  <c r="R6" i="1"/>
  <c r="R5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<sst xmlns="http://schemas.openxmlformats.org/spreadsheetml/2006/main" count="255" uniqueCount="64">
  <si>
    <t>Patient ID</t>
  </si>
  <si>
    <t>Baseline Risk Score</t>
  </si>
  <si>
    <t>add_6 risk score</t>
  </si>
  <si>
    <t>add_1 risk score</t>
  </si>
  <si>
    <t>Avg_Baseline_RiskScore</t>
  </si>
  <si>
    <t>Avg_add6_RiskScore</t>
  </si>
  <si>
    <t>Avg_add1_RiskScore</t>
  </si>
  <si>
    <t>sd_Baseline</t>
  </si>
  <si>
    <t>sd_add_6</t>
  </si>
  <si>
    <t>sd_add_1</t>
  </si>
  <si>
    <t>P00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</si>
  <si>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</si>
  <si>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</si>
  <si>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</si>
  <si>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</si>
  <si>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</si>
  <si>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</si>
  <si>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</si>
  <si>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</si>
  <si>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</si>
  <si>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</si>
  <si>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</si>
  <si>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Var_Baseline</t>
  </si>
  <si>
    <t>Var_add_6</t>
  </si>
  <si>
    <t>Var_add_1</t>
  </si>
  <si>
    <t>Comparison Column</t>
  </si>
  <si>
    <t>2 Tailed T-Test</t>
  </si>
  <si>
    <t>n=</t>
  </si>
  <si>
    <t>Summary Stats</t>
  </si>
  <si>
    <t>Mean Delta Risk</t>
  </si>
  <si>
    <t>SD Delta Risk</t>
  </si>
  <si>
    <t>SE</t>
  </si>
  <si>
    <t>t-statistic</t>
  </si>
  <si>
    <t>2 tailed T-Test</t>
  </si>
  <si>
    <t>Variance Graphs</t>
  </si>
  <si>
    <t>Mean Shift Graphs</t>
  </si>
  <si>
    <t>Variance_Ratio = (sd_add_6^2) / (sd_Baseline^2)</t>
  </si>
  <si>
    <t>f-test</t>
  </si>
  <si>
    <t>ID</t>
  </si>
  <si>
    <t>1 tailed</t>
  </si>
  <si>
    <t>Always Donates</t>
  </si>
  <si>
    <t>Sometimes Donates</t>
  </si>
  <si>
    <t>Never Donates</t>
  </si>
  <si>
    <t>Risk Score</t>
  </si>
  <si>
    <t xml:space="preserve">Param Score </t>
  </si>
  <si>
    <t>Param_Score</t>
  </si>
  <si>
    <t>Mean Always</t>
  </si>
  <si>
    <t>Mean Sometimes</t>
  </si>
  <si>
    <t>Mean Never</t>
  </si>
  <si>
    <t>P00 Risk Score</t>
  </si>
  <si>
    <t>Parameter Score</t>
  </si>
  <si>
    <t>P01 Risk Score</t>
  </si>
  <si>
    <t>P02 Risk Score</t>
  </si>
  <si>
    <t>Does increasing the number of non-medical (nonsensical or morally-coded) variables produce a linear or nonlinear change in the model’s predicted risk?</t>
  </si>
  <si>
    <t>Is the effect of adding a nonsensical variable (eye color or donation habits) consistent across patients, or does it interact with each patient’s underlying medical configuration?</t>
  </si>
  <si>
    <t>By quantifying whether irrelevant inputs:
Systematically change predictions → indicates a traceable bias pattern.
Interact with underlying medical features → reveals latent dependency structures in the model’s internal logic.
Either outcome adds interpretive clarity:
Consistent effect → the model’s reasoning pattern can be modeled, understood, and adjusted.
Inconsistent effect → highlights unstable internal calibration and areas needing transparency or retraining.
Both outcomes open the box slightly wider by showing how and when the model’s reasoning shifts.</t>
  </si>
  <si>
    <t>P+A2</t>
  </si>
  <si>
    <t>Always</t>
  </si>
  <si>
    <t>Sometimes</t>
  </si>
  <si>
    <t>Never</t>
  </si>
  <si>
    <t>Average Paramater Score</t>
  </si>
  <si>
    <t>see exp 3 analysis</t>
  </si>
  <si>
    <t>Abs_Mean_Delta_Risk-add6</t>
  </si>
  <si>
    <t>Abs_Mean_Delta_Risk-add1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</si>
</sst>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theme="7"/>
      <name val="Arial"/>
      <family val="2"/>
      <scheme val="minor"/>
    </font>
    <font>
      <sz val="14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3" borderId="0" xfId="0" applyFont="1" applyFill="1"/>
    <xf numFmtId="0" fontId="7" fillId="0" borderId="0" xfId="0" applyFont="1"/>
    <xf numFmtId="0" fontId="4" fillId="0" borderId="0" xfId="0" applyFont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12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The Effect of </a:t>
            </a:r>
            <a:r>
              <a:rPr lang="en-US" sz="1400" b="1" i="0" u="none" strike="noStrike" baseline="0"/>
              <a:t>Adding Medically Irrelevant Variables on Predicted Risk (Mean ± SD)</a:t>
            </a:r>
            <a:endParaRPr lang="en-US" b="1"/>
          </a:p>
        </c:rich>
      </c:tx>
      <c:layout>
        <c:manualLayout>
          <c:xMode val="edge"/>
          <c:yMode val="edge"/>
          <c:x val="0.10508157068601719"/>
          <c:y val="4.2328042328042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006487396622594E-2"/>
          <c:y val="0.18120300751879703"/>
          <c:w val="0.91132055662853462"/>
          <c:h val="0.65364839263513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Avg_Baseline_RiskScore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Sheet1!$L$2:$L$13</c:f>
                <c:numCache>
                  <c:formatCode>General</c:formatCode>
                  <c:ptCount val="12"/>
                  <c:pt idx="0">
                    <c:v>0.27386127875258298</c:v>
                  </c:pt>
                  <c:pt idx="1">
                    <c:v>0.20493901531919101</c:v>
                  </c:pt>
                  <c:pt idx="2">
                    <c:v>0.60663003552412398</c:v>
                  </c:pt>
                  <c:pt idx="3">
                    <c:v>0.61237243569579403</c:v>
                  </c:pt>
                  <c:pt idx="4">
                    <c:v>0.641872261435248</c:v>
                  </c:pt>
                  <c:pt idx="5">
                    <c:v>0.44721359549995798</c:v>
                  </c:pt>
                  <c:pt idx="6">
                    <c:v>0</c:v>
                  </c:pt>
                  <c:pt idx="7">
                    <c:v>0.22360679774997899</c:v>
                  </c:pt>
                  <c:pt idx="8">
                    <c:v>0.44721359549995698</c:v>
                  </c:pt>
                  <c:pt idx="9">
                    <c:v>0.5</c:v>
                  </c:pt>
                  <c:pt idx="10">
                    <c:v>0.65192024052026398</c:v>
                  </c:pt>
                  <c:pt idx="11">
                    <c:v>0.821583836257749</c:v>
                  </c:pt>
                </c:numCache>
              </c:numRef>
            </c:plus>
            <c:minus>
              <c:numRef>
                <c:f>Sheet1!$L$2:$L$13</c:f>
                <c:numCache>
                  <c:formatCode>General</c:formatCode>
                  <c:ptCount val="12"/>
                  <c:pt idx="0">
                    <c:v>0.27386127875258298</c:v>
                  </c:pt>
                  <c:pt idx="1">
                    <c:v>0.20493901531919101</c:v>
                  </c:pt>
                  <c:pt idx="2">
                    <c:v>0.60663003552412398</c:v>
                  </c:pt>
                  <c:pt idx="3">
                    <c:v>0.61237243569579403</c:v>
                  </c:pt>
                  <c:pt idx="4">
                    <c:v>0.641872261435248</c:v>
                  </c:pt>
                  <c:pt idx="5">
                    <c:v>0.44721359549995798</c:v>
                  </c:pt>
                  <c:pt idx="6">
                    <c:v>0</c:v>
                  </c:pt>
                  <c:pt idx="7">
                    <c:v>0.22360679774997899</c:v>
                  </c:pt>
                  <c:pt idx="8">
                    <c:v>0.44721359549995698</c:v>
                  </c:pt>
                  <c:pt idx="9">
                    <c:v>0.5</c:v>
                  </c:pt>
                  <c:pt idx="10">
                    <c:v>0.65192024052026398</c:v>
                  </c:pt>
                  <c:pt idx="11">
                    <c:v>0.821583836257749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Sheet1!$F$2:$F$13</c:f>
              <c:strCache>
                <c:ptCount val="12"/>
                <c:pt idx="0">
                  <c:v>P00</c:v>
                </c:pt>
                <c:pt idx="1">
                  <c:v>P01</c:v>
                </c:pt>
                <c:pt idx="2">
                  <c:v>P02</c:v>
                </c:pt>
                <c:pt idx="3">
                  <c:v>P03</c:v>
                </c:pt>
                <c:pt idx="4">
                  <c:v>P04</c:v>
                </c:pt>
                <c:pt idx="5">
                  <c:v>P05</c:v>
                </c:pt>
                <c:pt idx="6">
                  <c:v>P06</c:v>
                </c:pt>
                <c:pt idx="7">
                  <c:v>P07</c:v>
                </c:pt>
                <c:pt idx="8">
                  <c:v>P08</c:v>
                </c:pt>
                <c:pt idx="9">
                  <c:v>P09</c:v>
                </c:pt>
                <c:pt idx="10">
                  <c:v>P10</c:v>
                </c:pt>
                <c:pt idx="11">
                  <c:v>P11</c:v>
                </c:pt>
              </c:strCache>
            </c: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5.3</c:v>
                </c:pt>
                <c:pt idx="1">
                  <c:v>8.02</c:v>
                </c:pt>
                <c:pt idx="2">
                  <c:v>2.44</c:v>
                </c:pt>
                <c:pt idx="3">
                  <c:v>9</c:v>
                </c:pt>
                <c:pt idx="4">
                  <c:v>6.5200000000000005</c:v>
                </c:pt>
                <c:pt idx="5">
                  <c:v>5.8</c:v>
                </c:pt>
                <c:pt idx="6">
                  <c:v>5</c:v>
                </c:pt>
                <c:pt idx="7">
                  <c:v>7.9</c:v>
                </c:pt>
                <c:pt idx="8">
                  <c:v>6.2</c:v>
                </c:pt>
                <c:pt idx="9">
                  <c:v>5.5</c:v>
                </c:pt>
                <c:pt idx="10">
                  <c:v>5.0999999999999996</c:v>
                </c:pt>
                <c:pt idx="11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B-F44D-A4B0-96B428B978E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Avg_add6_RiskScore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Sheet1!$M$2:$M$13</c:f>
                <c:numCache>
                  <c:formatCode>General</c:formatCode>
                  <c:ptCount val="12"/>
                  <c:pt idx="0">
                    <c:v>1.64316767251549</c:v>
                  </c:pt>
                  <c:pt idx="1">
                    <c:v>0.54772255750516596</c:v>
                  </c:pt>
                  <c:pt idx="2">
                    <c:v>1.5192103211866299</c:v>
                  </c:pt>
                  <c:pt idx="3">
                    <c:v>1.1597413504743199</c:v>
                  </c:pt>
                  <c:pt idx="4">
                    <c:v>1.7166828478201701</c:v>
                  </c:pt>
                  <c:pt idx="5">
                    <c:v>0.90994505328618502</c:v>
                  </c:pt>
                  <c:pt idx="6">
                    <c:v>1.03682206766638</c:v>
                  </c:pt>
                  <c:pt idx="7">
                    <c:v>1.3145341380123901</c:v>
                  </c:pt>
                  <c:pt idx="8">
                    <c:v>0.82945765413310801</c:v>
                  </c:pt>
                  <c:pt idx="9">
                    <c:v>1.6516658257650001</c:v>
                  </c:pt>
                  <c:pt idx="10">
                    <c:v>2.4899799195977401</c:v>
                  </c:pt>
                  <c:pt idx="11">
                    <c:v>1.6920401886480101</c:v>
                  </c:pt>
                </c:numCache>
              </c:numRef>
            </c:plus>
            <c:minus>
              <c:numRef>
                <c:f>Sheet1!$M$2:$M$13</c:f>
                <c:numCache>
                  <c:formatCode>General</c:formatCode>
                  <c:ptCount val="12"/>
                  <c:pt idx="0">
                    <c:v>1.64316767251549</c:v>
                  </c:pt>
                  <c:pt idx="1">
                    <c:v>0.54772255750516596</c:v>
                  </c:pt>
                  <c:pt idx="2">
                    <c:v>1.5192103211866299</c:v>
                  </c:pt>
                  <c:pt idx="3">
                    <c:v>1.1597413504743199</c:v>
                  </c:pt>
                  <c:pt idx="4">
                    <c:v>1.7166828478201701</c:v>
                  </c:pt>
                  <c:pt idx="5">
                    <c:v>0.90994505328618502</c:v>
                  </c:pt>
                  <c:pt idx="6">
                    <c:v>1.03682206766638</c:v>
                  </c:pt>
                  <c:pt idx="7">
                    <c:v>1.3145341380123901</c:v>
                  </c:pt>
                  <c:pt idx="8">
                    <c:v>0.82945765413310801</c:v>
                  </c:pt>
                  <c:pt idx="9">
                    <c:v>1.6516658257650001</c:v>
                  </c:pt>
                  <c:pt idx="10">
                    <c:v>2.4899799195977401</c:v>
                  </c:pt>
                  <c:pt idx="11">
                    <c:v>1.6920401886480101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Sheet1!$F$2:$F$13</c:f>
              <c:strCache>
                <c:ptCount val="12"/>
                <c:pt idx="0">
                  <c:v>P00</c:v>
                </c:pt>
                <c:pt idx="1">
                  <c:v>P01</c:v>
                </c:pt>
                <c:pt idx="2">
                  <c:v>P02</c:v>
                </c:pt>
                <c:pt idx="3">
                  <c:v>P03</c:v>
                </c:pt>
                <c:pt idx="4">
                  <c:v>P04</c:v>
                </c:pt>
                <c:pt idx="5">
                  <c:v>P05</c:v>
                </c:pt>
                <c:pt idx="6">
                  <c:v>P06</c:v>
                </c:pt>
                <c:pt idx="7">
                  <c:v>P07</c:v>
                </c:pt>
                <c:pt idx="8">
                  <c:v>P08</c:v>
                </c:pt>
                <c:pt idx="9">
                  <c:v>P09</c:v>
                </c:pt>
                <c:pt idx="10">
                  <c:v>P10</c:v>
                </c:pt>
                <c:pt idx="11">
                  <c:v>P11</c:v>
                </c:pt>
              </c:strCache>
            </c:strRef>
          </c:cat>
          <c:val>
            <c:numRef>
              <c:f>Sheet1!$H$2:$H$13</c:f>
              <c:numCache>
                <c:formatCode>General</c:formatCode>
                <c:ptCount val="12"/>
                <c:pt idx="0">
                  <c:v>7.8</c:v>
                </c:pt>
                <c:pt idx="1">
                  <c:v>9.4</c:v>
                </c:pt>
                <c:pt idx="2">
                  <c:v>3.04</c:v>
                </c:pt>
                <c:pt idx="3">
                  <c:v>7.6</c:v>
                </c:pt>
                <c:pt idx="4">
                  <c:v>6.3199999999999994</c:v>
                </c:pt>
                <c:pt idx="5">
                  <c:v>6.8400000000000007</c:v>
                </c:pt>
                <c:pt idx="6">
                  <c:v>4.8</c:v>
                </c:pt>
                <c:pt idx="7">
                  <c:v>8.34</c:v>
                </c:pt>
                <c:pt idx="8">
                  <c:v>6.24</c:v>
                </c:pt>
                <c:pt idx="9">
                  <c:v>5.84</c:v>
                </c:pt>
                <c:pt idx="10">
                  <c:v>4.2</c:v>
                </c:pt>
                <c:pt idx="11">
                  <c:v>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B-F44D-A4B0-96B428B978EA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Avg_add1_RiskScore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Sheet1!$N$2:$N$13</c:f>
                <c:numCache>
                  <c:formatCode>General</c:formatCode>
                  <c:ptCount val="12"/>
                  <c:pt idx="0">
                    <c:v>1.03682206766638</c:v>
                  </c:pt>
                  <c:pt idx="1">
                    <c:v>0.74161984870956599</c:v>
                  </c:pt>
                  <c:pt idx="2">
                    <c:v>0.44721359549995698</c:v>
                  </c:pt>
                  <c:pt idx="3">
                    <c:v>0.65192024052026498</c:v>
                  </c:pt>
                  <c:pt idx="4">
                    <c:v>0.49497474683058301</c:v>
                  </c:pt>
                  <c:pt idx="5">
                    <c:v>1.30384048104052</c:v>
                  </c:pt>
                  <c:pt idx="6">
                    <c:v>0.83666002653407501</c:v>
                  </c:pt>
                  <c:pt idx="7">
                    <c:v>0.70710678118654702</c:v>
                  </c:pt>
                  <c:pt idx="8">
                    <c:v>1.2247448713915801</c:v>
                  </c:pt>
                  <c:pt idx="9">
                    <c:v>1.30384048104052</c:v>
                  </c:pt>
                  <c:pt idx="10">
                    <c:v>0.54772255750516596</c:v>
                  </c:pt>
                  <c:pt idx="11">
                    <c:v>0.65192024052026398</c:v>
                  </c:pt>
                </c:numCache>
              </c:numRef>
            </c:plus>
            <c:minus>
              <c:numRef>
                <c:f>Sheet1!$N$2:$N$13</c:f>
                <c:numCache>
                  <c:formatCode>General</c:formatCode>
                  <c:ptCount val="12"/>
                  <c:pt idx="0">
                    <c:v>1.03682206766638</c:v>
                  </c:pt>
                  <c:pt idx="1">
                    <c:v>0.74161984870956599</c:v>
                  </c:pt>
                  <c:pt idx="2">
                    <c:v>0.44721359549995698</c:v>
                  </c:pt>
                  <c:pt idx="3">
                    <c:v>0.65192024052026498</c:v>
                  </c:pt>
                  <c:pt idx="4">
                    <c:v>0.49497474683058301</c:v>
                  </c:pt>
                  <c:pt idx="5">
                    <c:v>1.30384048104052</c:v>
                  </c:pt>
                  <c:pt idx="6">
                    <c:v>0.83666002653407501</c:v>
                  </c:pt>
                  <c:pt idx="7">
                    <c:v>0.70710678118654702</c:v>
                  </c:pt>
                  <c:pt idx="8">
                    <c:v>1.2247448713915801</c:v>
                  </c:pt>
                  <c:pt idx="9">
                    <c:v>1.30384048104052</c:v>
                  </c:pt>
                  <c:pt idx="10">
                    <c:v>0.54772255750516596</c:v>
                  </c:pt>
                  <c:pt idx="11">
                    <c:v>0.65192024052026398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Sheet1!$F$2:$F$13</c:f>
              <c:strCache>
                <c:ptCount val="12"/>
                <c:pt idx="0">
                  <c:v>P00</c:v>
                </c:pt>
                <c:pt idx="1">
                  <c:v>P01</c:v>
                </c:pt>
                <c:pt idx="2">
                  <c:v>P02</c:v>
                </c:pt>
                <c:pt idx="3">
                  <c:v>P03</c:v>
                </c:pt>
                <c:pt idx="4">
                  <c:v>P04</c:v>
                </c:pt>
                <c:pt idx="5">
                  <c:v>P05</c:v>
                </c:pt>
                <c:pt idx="6">
                  <c:v>P06</c:v>
                </c:pt>
                <c:pt idx="7">
                  <c:v>P07</c:v>
                </c:pt>
                <c:pt idx="8">
                  <c:v>P08</c:v>
                </c:pt>
                <c:pt idx="9">
                  <c:v>P09</c:v>
                </c:pt>
                <c:pt idx="10">
                  <c:v>P10</c:v>
                </c:pt>
                <c:pt idx="11">
                  <c:v>P11</c:v>
                </c:pt>
              </c:strCache>
            </c:strRef>
          </c:cat>
          <c:val>
            <c:numRef>
              <c:f>Sheet1!$I$2:$I$13</c:f>
              <c:numCache>
                <c:formatCode>General</c:formatCode>
                <c:ptCount val="12"/>
                <c:pt idx="0">
                  <c:v>6.2</c:v>
                </c:pt>
                <c:pt idx="1">
                  <c:v>9.1</c:v>
                </c:pt>
                <c:pt idx="2">
                  <c:v>1.8</c:v>
                </c:pt>
                <c:pt idx="3">
                  <c:v>7.4</c:v>
                </c:pt>
                <c:pt idx="4">
                  <c:v>7.1</c:v>
                </c:pt>
                <c:pt idx="5">
                  <c:v>7.2</c:v>
                </c:pt>
                <c:pt idx="6">
                  <c:v>5.3</c:v>
                </c:pt>
                <c:pt idx="7">
                  <c:v>8</c:v>
                </c:pt>
                <c:pt idx="8">
                  <c:v>7.5</c:v>
                </c:pt>
                <c:pt idx="9">
                  <c:v>5.8</c:v>
                </c:pt>
                <c:pt idx="10">
                  <c:v>4.4000000000000004</c:v>
                </c:pt>
                <c:pt idx="11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B-F44D-A4B0-96B428B9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279760"/>
        <c:axId val="326240880"/>
      </c:barChart>
      <c:catAx>
        <c:axId val="138427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Patient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40880"/>
        <c:crosses val="autoZero"/>
        <c:auto val="1"/>
        <c:lblAlgn val="ctr"/>
        <c:lblOffset val="100"/>
        <c:noMultiLvlLbl val="0"/>
      </c:catAx>
      <c:valAx>
        <c:axId val="32624088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Mean Predicted Risk Score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7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0" i="0" u="none" strike="noStrike" cap="none" normalizeH="0" baseline="0">
                <a:effectLst/>
              </a:rPr>
              <a:t>Absolute Mean </a:t>
            </a:r>
            <a:r>
              <a:rPr lang="el-GR" sz="1600" b="0" i="0" u="none" strike="noStrike" cap="none" normalizeH="0" baseline="0">
                <a:effectLst/>
              </a:rPr>
              <a:t>Δ</a:t>
            </a:r>
            <a:r>
              <a:rPr lang="en-US" sz="1600" b="0" i="0" u="none" strike="noStrike" cap="none" normalizeH="0" baseline="0">
                <a:effectLst/>
              </a:rPr>
              <a:t>Risk </a:t>
            </a:r>
            <a:r>
              <a:rPr lang="en-US"/>
              <a:t>Between</a:t>
            </a:r>
            <a:r>
              <a:rPr lang="en-US" baseline="0"/>
              <a:t> 6 Medically Irrelevant Variables &amp; Baseline Risk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Abs_Mean_Delta_Risk-add6</c:v>
                </c:pt>
              </c:strCache>
            </c:strRef>
          </c:tx>
          <c:spPr>
            <a:solidFill>
              <a:srgbClr val="46BDC6">
                <a:alpha val="70196"/>
              </a:srgbClr>
            </a:solidFill>
            <a:ln>
              <a:noFill/>
            </a:ln>
            <a:effectLst/>
          </c:spPr>
          <c:invertIfNegative val="1"/>
          <c:dLbls>
            <c:delete val="1"/>
          </c:dLbls>
          <c:cat>
            <c:strRef>
              <c:f>Sheet1!$F$2:$F$13</c:f>
              <c:strCache>
                <c:ptCount val="12"/>
                <c:pt idx="0">
                  <c:v>P00</c:v>
                </c:pt>
                <c:pt idx="1">
                  <c:v>P01</c:v>
                </c:pt>
                <c:pt idx="2">
                  <c:v>P02</c:v>
                </c:pt>
                <c:pt idx="3">
                  <c:v>P03</c:v>
                </c:pt>
                <c:pt idx="4">
                  <c:v>P04</c:v>
                </c:pt>
                <c:pt idx="5">
                  <c:v>P05</c:v>
                </c:pt>
                <c:pt idx="6">
                  <c:v>P06</c:v>
                </c:pt>
                <c:pt idx="7">
                  <c:v>P07</c:v>
                </c:pt>
                <c:pt idx="8">
                  <c:v>P08</c:v>
                </c:pt>
                <c:pt idx="9">
                  <c:v>P09</c:v>
                </c:pt>
                <c:pt idx="10">
                  <c:v>P10</c:v>
                </c:pt>
                <c:pt idx="11">
                  <c:v>P11</c:v>
                </c:pt>
              </c:strCache>
            </c:strRef>
          </c:cat>
          <c:val>
            <c:numRef>
              <c:f>Sheet1!$J$2:$J$13</c:f>
              <c:numCache>
                <c:formatCode>General</c:formatCode>
                <c:ptCount val="12"/>
                <c:pt idx="0">
                  <c:v>2.5</c:v>
                </c:pt>
                <c:pt idx="1">
                  <c:v>1.3800000000000008</c:v>
                </c:pt>
                <c:pt idx="2">
                  <c:v>0.60000000000000009</c:v>
                </c:pt>
                <c:pt idx="3">
                  <c:v>1.4000000000000004</c:v>
                </c:pt>
                <c:pt idx="4">
                  <c:v>0.20000000000000107</c:v>
                </c:pt>
                <c:pt idx="5">
                  <c:v>1.0400000000000009</c:v>
                </c:pt>
                <c:pt idx="6">
                  <c:v>0.20000000000000018</c:v>
                </c:pt>
                <c:pt idx="7">
                  <c:v>0.4399999999999995</c:v>
                </c:pt>
                <c:pt idx="8">
                  <c:v>4.0000000000000036E-2</c:v>
                </c:pt>
                <c:pt idx="9">
                  <c:v>0.33999999999999986</c:v>
                </c:pt>
                <c:pt idx="10">
                  <c:v>0.89999999999999947</c:v>
                </c:pt>
                <c:pt idx="11">
                  <c:v>0.35999999999999943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A4335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6F8-4D42-AB66-091849AFC2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54"/>
        <c:axId val="1780395295"/>
        <c:axId val="1780174911"/>
      </c:barChart>
      <c:catAx>
        <c:axId val="178039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Patient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174911"/>
        <c:crosses val="autoZero"/>
        <c:auto val="1"/>
        <c:lblAlgn val="ctr"/>
        <c:lblOffset val="100"/>
        <c:noMultiLvlLbl val="0"/>
      </c:catAx>
      <c:valAx>
        <c:axId val="17801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 Absolute Change in Risk Scoe 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9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 Ratio's</a:t>
            </a:r>
            <a:r>
              <a:rPr lang="en-US" baseline="0"/>
              <a:t> between +6 Medically Irrelevant Variables and Baseline Risk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Sheet1!$P$16:$P$27</c:f>
              <c:numCache>
                <c:formatCode>General</c:formatCode>
                <c:ptCount val="12"/>
                <c:pt idx="0">
                  <c:v>35.999999999999659</c:v>
                </c:pt>
                <c:pt idx="1">
                  <c:v>7.1428571428572054</c:v>
                </c:pt>
                <c:pt idx="2">
                  <c:v>6.2717391304347387</c:v>
                </c:pt>
                <c:pt idx="3">
                  <c:v>3.5866666666666704</c:v>
                </c:pt>
                <c:pt idx="4">
                  <c:v>7.1529126213591603</c:v>
                </c:pt>
                <c:pt idx="5">
                  <c:v>4.1399999999999899</c:v>
                </c:pt>
                <c:pt idx="6">
                  <c:v>0</c:v>
                </c:pt>
                <c:pt idx="7">
                  <c:v>34.55999999999954</c:v>
                </c:pt>
                <c:pt idx="8">
                  <c:v>3.4400000000000075</c:v>
                </c:pt>
                <c:pt idx="9">
                  <c:v>10.911999999999919</c:v>
                </c:pt>
                <c:pt idx="10">
                  <c:v>14.588235294117613</c:v>
                </c:pt>
                <c:pt idx="11">
                  <c:v>4.2414814814814736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A-C048-B56F-A9B5435F4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-27"/>
        <c:axId val="1781719711"/>
        <c:axId val="794651487"/>
      </c:barChart>
      <c:catAx>
        <c:axId val="178171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651487"/>
        <c:crosses val="autoZero"/>
        <c:auto val="1"/>
        <c:lblAlgn val="ctr"/>
        <c:lblOffset val="100"/>
        <c:noMultiLvlLbl val="0"/>
      </c:catAx>
      <c:valAx>
        <c:axId val="79465148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1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19</xdr:row>
      <xdr:rowOff>165100</xdr:rowOff>
    </xdr:from>
    <xdr:to>
      <xdr:col>9</xdr:col>
      <xdr:colOff>850900</xdr:colOff>
      <xdr:row>45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D5CF7-4352-0789-CD38-953C02384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124408</xdr:colOff>
      <xdr:row>28</xdr:row>
      <xdr:rowOff>91806</xdr:rowOff>
    </xdr:from>
    <xdr:to>
      <xdr:col>15</xdr:col>
      <xdr:colOff>765060</xdr:colOff>
      <xdr:row>50</xdr:row>
      <xdr:rowOff>14941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CFA462-83E9-5194-A3D3-8A48060A2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328706</xdr:colOff>
      <xdr:row>30</xdr:row>
      <xdr:rowOff>100106</xdr:rowOff>
    </xdr:from>
    <xdr:to>
      <xdr:col>21</xdr:col>
      <xdr:colOff>44824</xdr:colOff>
      <xdr:row>47</xdr:row>
      <xdr:rowOff>29883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F4D747-E391-8658-874A-5A6D5BE00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1"/>
  <sheetViews>
    <sheetView tabSelected="1" topLeftCell="A27" zoomScale="85" zoomScaleNormal="85" workbookViewId="0">
      <selection activeCell="I17" sqref="I17"/>
    </sheetView>
  </sheetViews>
  <sheetFormatPr baseColWidth="10" defaultColWidth="12.6640625" defaultRowHeight="15.75" customHeight="1" x14ac:dyDescent="0.15"/>
  <cols>
    <col min="2" max="2" width="17" customWidth="1"/>
    <col min="3" max="3" width="15.83203125" customWidth="1"/>
    <col min="5" max="5" width="8.1640625" customWidth="1"/>
    <col min="7" max="7" width="21.5" customWidth="1"/>
  </cols>
  <sheetData>
    <row r="1" spans="1:18" ht="15.75" customHeight="1" x14ac:dyDescent="0.15">
      <c r="A1" s="1" t="s">
        <v>56</v>
      </c>
      <c r="B1" s="1" t="s">
        <v>1</v>
      </c>
      <c r="C1" s="1" t="s">
        <v>2</v>
      </c>
      <c r="D1" s="1" t="s">
        <v>3</v>
      </c>
      <c r="F1" s="2" t="s">
        <v>0</v>
      </c>
      <c r="G1" s="2" t="s">
        <v>4</v>
      </c>
      <c r="H1" s="2" t="s">
        <v>5</v>
      </c>
      <c r="I1" s="2" t="s">
        <v>6</v>
      </c>
      <c r="J1" s="2" t="s">
        <v>62</v>
      </c>
      <c r="K1" s="2" t="s">
        <v>63</v>
      </c>
      <c r="L1" s="1" t="s">
        <v>7</v>
      </c>
      <c r="M1" s="1" t="s">
        <v>8</v>
      </c>
      <c r="N1" s="1" t="s">
        <v>9</v>
      </c>
      <c r="O1" s="13" t="s">
        <v>25</v>
      </c>
    </row>
    <row r="2" spans="1:18" ht="15.75" customHeight="1" x14ac:dyDescent="0.15">
      <c r="A2" s="3" t="s">
        <v>10</v>
      </c>
      <c r="B2" s="4">
        <v>5.5</v>
      </c>
      <c r="C2" s="3">
        <v>9</v>
      </c>
      <c r="D2" s="3">
        <v>5.5</v>
      </c>
      <c r="F2" s="5" t="s">
        <v>10</v>
      </c>
      <c r="G2" s="1">
        <f t="shared" ref="G2:G13" si="0">AVERAGEIF($A:$A, F2, $B:$B)</f>
        <v>5.3</v>
      </c>
      <c r="H2" s="1">
        <f t="shared" ref="H2:H13" si="1">AVERAGEIF($A:$A, F2, $C:$C)</f>
        <v>7.8</v>
      </c>
      <c r="I2" s="1">
        <f t="shared" ref="I2:I13" si="2">AVERAGEIF($A:$A, F2, $D:$D)</f>
        <v>6.2</v>
      </c>
      <c r="J2" s="6">
        <f>ABS(H2 - G2)</f>
        <v>2.5</v>
      </c>
      <c r="K2" s="6">
        <f>ABS(I2-G2)</f>
        <v>0.90000000000000036</v>
      </c>
      <c r="L2" s="1">
        <f ca="1">IFERROR(__xludf.DUMMYFUNCTION("STDEV.S(FILTER($B$2:$B$999, $A$2:$A$999 = F2))"),0.273861278752583)</f>
        <v>0.27386127875258298</v>
      </c>
      <c r="M2" s="1">
        <f ca="1">IFERROR(__xludf.DUMMYFUNCTION("STDEV.S(FILTER($C$2:$C$999, $A$2:$A$999 = F2))"),1.64316767251549)</f>
        <v>1.64316767251549</v>
      </c>
      <c r="N2" s="1">
        <f ca="1">IFERROR(__xludf.DUMMYFUNCTION("STDEV.S(FILTER($D$2:$D$999, $A$2:$A$999 = F2))"),1.03682206766638)</f>
        <v>1.03682206766638</v>
      </c>
      <c r="O2">
        <v>0</v>
      </c>
      <c r="Q2" s="11" t="s">
        <v>28</v>
      </c>
    </row>
    <row r="3" spans="1:18" ht="15.75" customHeight="1" x14ac:dyDescent="0.15">
      <c r="A3" s="3" t="s">
        <v>10</v>
      </c>
      <c r="B3" s="4">
        <v>5</v>
      </c>
      <c r="C3" s="3">
        <v>5</v>
      </c>
      <c r="D3" s="3">
        <v>5</v>
      </c>
      <c r="F3" s="5" t="s">
        <v>11</v>
      </c>
      <c r="G3" s="1">
        <f t="shared" si="0"/>
        <v>8.02</v>
      </c>
      <c r="H3" s="1">
        <f t="shared" si="1"/>
        <v>9.4</v>
      </c>
      <c r="I3" s="1">
        <f t="shared" si="2"/>
        <v>9.1</v>
      </c>
      <c r="J3" s="6">
        <f t="shared" ref="J3:J13" si="3">ABS(H3 - G3)</f>
        <v>1.3800000000000008</v>
      </c>
      <c r="K3" s="6">
        <f t="shared" ref="K3:K13" si="4">ABS(I3-G3)</f>
        <v>1.08</v>
      </c>
      <c r="L3" s="1">
        <f ca="1">IFERROR(__xludf.DUMMYFUNCTION("STDEV.S(FILTER($B$2:$B$999, $A$2:$A$999 = F3))"),0.204939015319191)</f>
        <v>0.20493901531919101</v>
      </c>
      <c r="M3" s="1">
        <f ca="1">IFERROR(__xludf.DUMMYFUNCTION("STDEV.S(FILTER($C$2:$C$999, $A$2:$A$999 = F3))"),0.547722557505166)</f>
        <v>0.54772255750516596</v>
      </c>
      <c r="N3" s="1">
        <f ca="1">IFERROR(__xludf.DUMMYFUNCTION("STDEV.S(FILTER($D$2:$D$999, $A$2:$A$999 = F3))"),0.741619848709566)</f>
        <v>0.74161984870956599</v>
      </c>
      <c r="O3">
        <v>0</v>
      </c>
      <c r="Q3" s="11" t="s">
        <v>27</v>
      </c>
      <c r="R3">
        <f>COUNT(J2:J13)</f>
        <v>12</v>
      </c>
    </row>
    <row r="4" spans="1:18" ht="15.75" customHeight="1" x14ac:dyDescent="0.15">
      <c r="A4" s="3" t="s">
        <v>10</v>
      </c>
      <c r="B4" s="3">
        <v>5.5</v>
      </c>
      <c r="C4" s="3">
        <v>9</v>
      </c>
      <c r="D4" s="3">
        <v>7.5</v>
      </c>
      <c r="F4" s="5" t="s">
        <v>12</v>
      </c>
      <c r="G4" s="1">
        <f t="shared" si="0"/>
        <v>2.44</v>
      </c>
      <c r="H4" s="1">
        <f t="shared" si="1"/>
        <v>3.04</v>
      </c>
      <c r="I4" s="1">
        <f t="shared" si="2"/>
        <v>1.8</v>
      </c>
      <c r="J4" s="6">
        <f t="shared" si="3"/>
        <v>0.60000000000000009</v>
      </c>
      <c r="K4" s="6">
        <f t="shared" si="4"/>
        <v>0.6399999999999999</v>
      </c>
      <c r="L4" s="1">
        <f ca="1">IFERROR(__xludf.DUMMYFUNCTION("STDEV.S(FILTER($B$2:$B$999, $A$2:$A$999 = F4))"),0.606630035524124)</f>
        <v>0.60663003552412398</v>
      </c>
      <c r="M4" s="1">
        <f ca="1">IFERROR(__xludf.DUMMYFUNCTION("STDEV.S(FILTER($C$2:$C$999, $A$2:$A$999 = F4))"),1.51921032118663)</f>
        <v>1.5192103211866299</v>
      </c>
      <c r="N4" s="1">
        <f ca="1">IFERROR(__xludf.DUMMYFUNCTION("STDEV.S(FILTER($D$2:$D$999, $A$2:$A$999 = F4))"),0.447213595499957)</f>
        <v>0.44721359549995698</v>
      </c>
      <c r="O4">
        <v>0</v>
      </c>
      <c r="Q4" s="11" t="s">
        <v>29</v>
      </c>
      <c r="R4">
        <f>AVERAGE(J2:J13)</f>
        <v>0.78333333333333355</v>
      </c>
    </row>
    <row r="5" spans="1:18" ht="15.75" customHeight="1" x14ac:dyDescent="0.15">
      <c r="A5" s="3" t="s">
        <v>10</v>
      </c>
      <c r="B5" s="3">
        <v>5</v>
      </c>
      <c r="C5" s="3">
        <v>8</v>
      </c>
      <c r="D5" s="3">
        <v>7</v>
      </c>
      <c r="F5" s="5" t="s">
        <v>13</v>
      </c>
      <c r="G5" s="1">
        <f t="shared" si="0"/>
        <v>9</v>
      </c>
      <c r="H5" s="1">
        <f t="shared" si="1"/>
        <v>7.6</v>
      </c>
      <c r="I5" s="1">
        <f t="shared" si="2"/>
        <v>7.4</v>
      </c>
      <c r="J5" s="6">
        <f t="shared" si="3"/>
        <v>1.4000000000000004</v>
      </c>
      <c r="K5" s="6">
        <f t="shared" si="4"/>
        <v>1.5999999999999996</v>
      </c>
      <c r="L5" s="1">
        <f ca="1">IFERROR(__xludf.DUMMYFUNCTION("STDEV.S(FILTER($B$2:$B$999, $A$2:$A$999 = F5))"),0.612372435695794)</f>
        <v>0.61237243569579403</v>
      </c>
      <c r="M5" s="1">
        <f ca="1">IFERROR(__xludf.DUMMYFUNCTION("STDEV.S(FILTER($C$2:$C$999, $A$2:$A$999 = F5))"),1.15974135047432)</f>
        <v>1.1597413504743199</v>
      </c>
      <c r="N5" s="1">
        <f ca="1">IFERROR(__xludf.DUMMYFUNCTION("STDEV.S(FILTER($D$2:$D$999, $A$2:$A$999 = F5))"),0.651920240520265)</f>
        <v>0.65192024052026498</v>
      </c>
      <c r="O5">
        <v>0</v>
      </c>
      <c r="Q5" s="11" t="s">
        <v>30</v>
      </c>
      <c r="R5">
        <f>_xlfn.STDEV.S(J2:J13)</f>
        <v>0.70858801125687265</v>
      </c>
    </row>
    <row r="6" spans="1:18" ht="15.75" customHeight="1" x14ac:dyDescent="0.15">
      <c r="A6" s="3" t="s">
        <v>10</v>
      </c>
      <c r="B6" s="3">
        <v>5.5</v>
      </c>
      <c r="C6" s="3">
        <v>8</v>
      </c>
      <c r="D6" s="3">
        <v>6</v>
      </c>
      <c r="F6" s="5" t="s">
        <v>14</v>
      </c>
      <c r="G6" s="1">
        <f t="shared" si="0"/>
        <v>6.5200000000000005</v>
      </c>
      <c r="H6" s="1">
        <f t="shared" si="1"/>
        <v>6.3199999999999994</v>
      </c>
      <c r="I6" s="1">
        <f t="shared" si="2"/>
        <v>7.1</v>
      </c>
      <c r="J6" s="6">
        <f t="shared" si="3"/>
        <v>0.20000000000000107</v>
      </c>
      <c r="K6" s="6">
        <f t="shared" si="4"/>
        <v>0.57999999999999918</v>
      </c>
      <c r="L6" s="1">
        <f ca="1">IFERROR(__xludf.DUMMYFUNCTION("STDEV.S(FILTER($B$2:$B$999, $A$2:$A$999 = F6))"),0.641872261435248)</f>
        <v>0.641872261435248</v>
      </c>
      <c r="M6" s="1">
        <f ca="1">IFERROR(__xludf.DUMMYFUNCTION("STDEV.S(FILTER($C$2:$C$999, $A$2:$A$999 = F6))"),1.71668284782017)</f>
        <v>1.7166828478201701</v>
      </c>
      <c r="N6" s="1">
        <f ca="1">IFERROR(__xludf.DUMMYFUNCTION("STDEV.S(FILTER($D$2:$D$999, $A$2:$A$999 = F6))"),0.494974746830583)</f>
        <v>0.49497474683058301</v>
      </c>
      <c r="O6">
        <v>0</v>
      </c>
      <c r="Q6" s="11" t="s">
        <v>31</v>
      </c>
      <c r="R6">
        <f>_xlfn.STDEV.S(J2:J13) / SQRT(COUNT(J2:J13))</f>
        <v>0.20455173952184852</v>
      </c>
    </row>
    <row r="7" spans="1:18" ht="15.75" customHeight="1" x14ac:dyDescent="0.15">
      <c r="A7" s="8" t="s">
        <v>11</v>
      </c>
      <c r="B7" s="8">
        <v>8</v>
      </c>
      <c r="C7" s="8">
        <v>9</v>
      </c>
      <c r="D7" s="8">
        <v>8</v>
      </c>
      <c r="F7" s="5" t="s">
        <v>15</v>
      </c>
      <c r="G7" s="1">
        <f t="shared" si="0"/>
        <v>5.8</v>
      </c>
      <c r="H7" s="1">
        <f t="shared" si="1"/>
        <v>6.8400000000000007</v>
      </c>
      <c r="I7" s="1">
        <f t="shared" si="2"/>
        <v>7.2</v>
      </c>
      <c r="J7" s="6">
        <f t="shared" si="3"/>
        <v>1.0400000000000009</v>
      </c>
      <c r="K7" s="6">
        <f t="shared" si="4"/>
        <v>1.4000000000000004</v>
      </c>
      <c r="L7" s="1">
        <f ca="1">IFERROR(__xludf.DUMMYFUNCTION("STDEV.S(FILTER($B$2:$B$999, $A$2:$A$999 = F7))"),0.447213595499958)</f>
        <v>0.44721359549995798</v>
      </c>
      <c r="M7" s="1">
        <f ca="1">IFERROR(__xludf.DUMMYFUNCTION("STDEV.S(FILTER($C$2:$C$999, $A$2:$A$999 = F7))"),0.909945053286185)</f>
        <v>0.90994505328618502</v>
      </c>
      <c r="N7" s="1">
        <f ca="1">IFERROR(__xludf.DUMMYFUNCTION("STDEV.S(FILTER($D$2:$D$999, $A$2:$A$999 = F7))"),1.30384048104052)</f>
        <v>1.30384048104052</v>
      </c>
      <c r="O7">
        <v>0</v>
      </c>
      <c r="Q7" s="11" t="s">
        <v>32</v>
      </c>
      <c r="R7">
        <f>( AVERAGE(J2:J13) - 0 ) / ( _xlfn.STDEV.S(J2:J13) / SQRT(COUNT(J2:J13)) )</f>
        <v>3.8295119619340339</v>
      </c>
    </row>
    <row r="8" spans="1:18" ht="15.75" customHeight="1" x14ac:dyDescent="0.15">
      <c r="A8" s="8" t="s">
        <v>11</v>
      </c>
      <c r="B8" s="8">
        <v>8.1999999999999993</v>
      </c>
      <c r="C8" s="8">
        <v>10</v>
      </c>
      <c r="D8" s="8">
        <v>9</v>
      </c>
      <c r="F8" s="5" t="s">
        <v>16</v>
      </c>
      <c r="G8" s="1">
        <f t="shared" si="0"/>
        <v>5</v>
      </c>
      <c r="H8" s="1">
        <f t="shared" si="1"/>
        <v>4.8</v>
      </c>
      <c r="I8" s="1">
        <f t="shared" si="2"/>
        <v>5.3</v>
      </c>
      <c r="J8" s="6">
        <f t="shared" si="3"/>
        <v>0.20000000000000018</v>
      </c>
      <c r="K8" s="6">
        <f t="shared" si="4"/>
        <v>0.29999999999999982</v>
      </c>
      <c r="L8" s="1">
        <f ca="1">IFERROR(__xludf.DUMMYFUNCTION("STDEV.S(FILTER($B$2:$B$999, $A$2:$A$999 = F8))"),0)</f>
        <v>0</v>
      </c>
      <c r="M8" s="1">
        <f ca="1">IFERROR(__xludf.DUMMYFUNCTION("STDEV.S(FILTER($C$2:$C$999, $A$2:$A$999 = F8))"),1.03682206766638)</f>
        <v>1.03682206766638</v>
      </c>
      <c r="N8" s="1">
        <f ca="1">IFERROR(__xludf.DUMMYFUNCTION("STDEV.S(FILTER($D$2:$D$999, $A$2:$A$999 = F8))"),0.836660026534075)</f>
        <v>0.83666002653407501</v>
      </c>
      <c r="O8">
        <v>0</v>
      </c>
      <c r="Q8" s="11" t="s">
        <v>33</v>
      </c>
      <c r="R8">
        <f xml:space="preserve"> _xlfn.T.DIST.2T( ABS( (AVERAGE(J2:J13)) / (_xlfn.STDEV.S(J2:J13)/SQRT(COUNT(J2:J13))) ), COUNT(J2:J13)-1 )</f>
        <v>2.7967601694439538E-3</v>
      </c>
    </row>
    <row r="9" spans="1:18" ht="15.75" customHeight="1" x14ac:dyDescent="0.15">
      <c r="A9" s="8" t="s">
        <v>11</v>
      </c>
      <c r="B9" s="8">
        <v>7.7</v>
      </c>
      <c r="C9" s="8">
        <v>9</v>
      </c>
      <c r="D9" s="8">
        <v>10</v>
      </c>
      <c r="F9" s="5" t="s">
        <v>17</v>
      </c>
      <c r="G9" s="1">
        <f t="shared" si="0"/>
        <v>7.9</v>
      </c>
      <c r="H9" s="1">
        <f t="shared" si="1"/>
        <v>8.34</v>
      </c>
      <c r="I9" s="1">
        <f t="shared" si="2"/>
        <v>8</v>
      </c>
      <c r="J9" s="6">
        <f t="shared" si="3"/>
        <v>0.4399999999999995</v>
      </c>
      <c r="K9" s="6">
        <f t="shared" si="4"/>
        <v>9.9999999999999645E-2</v>
      </c>
      <c r="L9" s="1">
        <f ca="1">IFERROR(__xludf.DUMMYFUNCTION("STDEV.S(FILTER($B$2:$B$999, $A$2:$A$999 = F9))"),0.223606797749979)</f>
        <v>0.22360679774997899</v>
      </c>
      <c r="M9" s="1">
        <f ca="1">IFERROR(__xludf.DUMMYFUNCTION("STDEV.S(FILTER($C$2:$C$999, $A$2:$A$999 = F9))"),1.31453413801239)</f>
        <v>1.3145341380123901</v>
      </c>
      <c r="N9" s="1">
        <f ca="1">IFERROR(__xludf.DUMMYFUNCTION("STDEV.S(FILTER($D$2:$D$999, $A$2:$A$999 = F9))"),0.707106781186547)</f>
        <v>0.70710678118654702</v>
      </c>
      <c r="O9">
        <v>0</v>
      </c>
      <c r="Q9" s="14" t="s">
        <v>39</v>
      </c>
      <c r="R9">
        <f xml:space="preserve"> _xlfn.T.DIST.RT( ABS( (AVERAGE(J2:J13)) / (_xlfn.STDEV.S(J2:J13)/SQRT(COUNT(J2:J13))) ), COUNT(J2:J13)-1 )</f>
        <v>1.3983800847219769E-3</v>
      </c>
    </row>
    <row r="10" spans="1:18" ht="15.75" customHeight="1" x14ac:dyDescent="0.15">
      <c r="A10" s="8" t="s">
        <v>11</v>
      </c>
      <c r="B10" s="8">
        <v>8.1999999999999993</v>
      </c>
      <c r="C10" s="8">
        <v>9</v>
      </c>
      <c r="D10" s="8">
        <v>9.5</v>
      </c>
      <c r="F10" s="5" t="s">
        <v>18</v>
      </c>
      <c r="G10" s="1">
        <f t="shared" si="0"/>
        <v>6.2</v>
      </c>
      <c r="H10" s="1">
        <f t="shared" si="1"/>
        <v>6.24</v>
      </c>
      <c r="I10" s="1">
        <f t="shared" si="2"/>
        <v>7.5</v>
      </c>
      <c r="J10" s="6">
        <f t="shared" si="3"/>
        <v>4.0000000000000036E-2</v>
      </c>
      <c r="K10" s="6">
        <f t="shared" si="4"/>
        <v>1.2999999999999998</v>
      </c>
      <c r="L10" s="1">
        <f ca="1">IFERROR(__xludf.DUMMYFUNCTION("STDEV.S(FILTER($B$2:$B$999, $A$2:$A$999 = F10))"),0.447213595499957)</f>
        <v>0.44721359549995698</v>
      </c>
      <c r="M10" s="1">
        <f ca="1">IFERROR(__xludf.DUMMYFUNCTION("STDEV.S(FILTER($C$2:$C$999, $A$2:$A$999 = F10))"),0.829457654133108)</f>
        <v>0.82945765413310801</v>
      </c>
      <c r="N10" s="1">
        <f ca="1">IFERROR(__xludf.DUMMYFUNCTION("STDEV.S(FILTER($D$2:$D$999, $A$2:$A$999 = F10))"),1.22474487139158)</f>
        <v>1.2247448713915801</v>
      </c>
      <c r="O10">
        <v>0</v>
      </c>
    </row>
    <row r="11" spans="1:18" ht="15.75" customHeight="1" x14ac:dyDescent="0.15">
      <c r="A11" s="8" t="s">
        <v>11</v>
      </c>
      <c r="B11" s="8">
        <v>8</v>
      </c>
      <c r="C11" s="8">
        <v>10</v>
      </c>
      <c r="D11" s="8">
        <v>9</v>
      </c>
      <c r="F11" s="5" t="s">
        <v>19</v>
      </c>
      <c r="G11" s="1">
        <f t="shared" si="0"/>
        <v>5.5</v>
      </c>
      <c r="H11" s="1">
        <f t="shared" si="1"/>
        <v>5.84</v>
      </c>
      <c r="I11" s="1">
        <f t="shared" si="2"/>
        <v>5.8</v>
      </c>
      <c r="J11" s="6">
        <f t="shared" si="3"/>
        <v>0.33999999999999986</v>
      </c>
      <c r="K11" s="6">
        <f t="shared" si="4"/>
        <v>0.29999999999999982</v>
      </c>
      <c r="L11" s="1">
        <f ca="1">IFERROR(__xludf.DUMMYFUNCTION("STDEV.S(FILTER($B$2:$B$999, $A$2:$A$999 = F11))"),0.5)</f>
        <v>0.5</v>
      </c>
      <c r="M11" s="1">
        <f ca="1">IFERROR(__xludf.DUMMYFUNCTION("STDEV.S(FILTER($C$2:$C$999, $A$2:$A$999 = F11))"),1.651665825765)</f>
        <v>1.6516658257650001</v>
      </c>
      <c r="N11" s="1">
        <f ca="1">IFERROR(__xludf.DUMMYFUNCTION("STDEV.S(FILTER($D$2:$D$999, $A$2:$A$999 = F11))"),1.30384048104052)</f>
        <v>1.30384048104052</v>
      </c>
      <c r="O11">
        <v>0</v>
      </c>
    </row>
    <row r="12" spans="1:18" ht="15.75" customHeight="1" x14ac:dyDescent="0.15">
      <c r="A12" s="7" t="s">
        <v>12</v>
      </c>
      <c r="B12" s="7">
        <v>3.2</v>
      </c>
      <c r="C12" s="7">
        <v>4</v>
      </c>
      <c r="D12" s="7">
        <v>2</v>
      </c>
      <c r="F12" s="5" t="s">
        <v>20</v>
      </c>
      <c r="G12" s="1">
        <f t="shared" si="0"/>
        <v>5.0999999999999996</v>
      </c>
      <c r="H12" s="1">
        <f t="shared" si="1"/>
        <v>4.2</v>
      </c>
      <c r="I12" s="1">
        <f t="shared" si="2"/>
        <v>4.4000000000000004</v>
      </c>
      <c r="J12" s="6">
        <f t="shared" si="3"/>
        <v>0.89999999999999947</v>
      </c>
      <c r="K12" s="6">
        <f t="shared" si="4"/>
        <v>0.69999999999999929</v>
      </c>
      <c r="L12" s="1">
        <f ca="1">IFERROR(__xludf.DUMMYFUNCTION("STDEV.S(FILTER($B$2:$B$999, $A$2:$A$999 = F12))"),0.651920240520264)</f>
        <v>0.65192024052026398</v>
      </c>
      <c r="M12" s="1">
        <f ca="1">IFERROR(__xludf.DUMMYFUNCTION("STDEV.S(FILTER($C$2:$C$999, $A$2:$A$999 = F12))"),2.48997991959774)</f>
        <v>2.4899799195977401</v>
      </c>
      <c r="N12" s="1">
        <f ca="1">IFERROR(__xludf.DUMMYFUNCTION("STDEV.S(FILTER($D$2:$D$999, $A$2:$A$999 = F12))"),0.547722557505166)</f>
        <v>0.54772255750516596</v>
      </c>
      <c r="O12">
        <v>0</v>
      </c>
    </row>
    <row r="13" spans="1:18" ht="15.75" customHeight="1" x14ac:dyDescent="0.15">
      <c r="A13" s="7" t="s">
        <v>12</v>
      </c>
      <c r="B13" s="7">
        <v>2</v>
      </c>
      <c r="C13" s="7">
        <v>2</v>
      </c>
      <c r="D13" s="7">
        <v>2</v>
      </c>
      <c r="F13" s="5" t="s">
        <v>21</v>
      </c>
      <c r="G13" s="1">
        <f t="shared" si="0"/>
        <v>7.4</v>
      </c>
      <c r="H13" s="1">
        <f t="shared" si="1"/>
        <v>7.76</v>
      </c>
      <c r="I13" s="1">
        <f t="shared" si="2"/>
        <v>7.1</v>
      </c>
      <c r="J13" s="6">
        <f t="shared" si="3"/>
        <v>0.35999999999999943</v>
      </c>
      <c r="K13" s="6">
        <f t="shared" si="4"/>
        <v>0.30000000000000071</v>
      </c>
      <c r="L13" s="1">
        <f ca="1">IFERROR(__xludf.DUMMYFUNCTION("STDEV.S(FILTER($B$2:$B$999, $A$2:$A$999 = F13))"),0.821583836257749)</f>
        <v>0.821583836257749</v>
      </c>
      <c r="M13" s="1">
        <f ca="1">IFERROR(__xludf.DUMMYFUNCTION("STDEV.S(FILTER($C$2:$C$999, $A$2:$A$999 = F13))"),1.69204018864801)</f>
        <v>1.6920401886480101</v>
      </c>
      <c r="N13" s="1">
        <f ca="1">IFERROR(__xludf.DUMMYFUNCTION("STDEV.S(FILTER($D$2:$D$999, $A$2:$A$999 = F13))"),0.651920240520264)</f>
        <v>0.65192024052026398</v>
      </c>
      <c r="O13">
        <v>0</v>
      </c>
    </row>
    <row r="14" spans="1:18" ht="15.75" customHeight="1" x14ac:dyDescent="0.15">
      <c r="A14" s="7" t="s">
        <v>12</v>
      </c>
      <c r="B14" s="7">
        <v>2</v>
      </c>
      <c r="C14" s="7">
        <v>3</v>
      </c>
      <c r="D14" s="7">
        <v>2</v>
      </c>
    </row>
    <row r="15" spans="1:18" ht="15.75" customHeight="1" x14ac:dyDescent="0.15">
      <c r="A15" s="7" t="s">
        <v>12</v>
      </c>
      <c r="B15" s="7">
        <v>2</v>
      </c>
      <c r="C15" s="7">
        <v>1.2</v>
      </c>
      <c r="D15" s="7">
        <v>2</v>
      </c>
      <c r="K15" s="12" t="s">
        <v>38</v>
      </c>
      <c r="L15" s="9" t="s">
        <v>22</v>
      </c>
      <c r="M15" s="9" t="s">
        <v>23</v>
      </c>
      <c r="N15" s="9" t="s">
        <v>24</v>
      </c>
      <c r="P15" s="11" t="s">
        <v>36</v>
      </c>
    </row>
    <row r="16" spans="1:18" ht="15.75" customHeight="1" x14ac:dyDescent="0.15">
      <c r="A16" s="7" t="s">
        <v>12</v>
      </c>
      <c r="B16" s="7">
        <v>3</v>
      </c>
      <c r="C16" s="7">
        <v>5</v>
      </c>
      <c r="D16" s="7">
        <v>1</v>
      </c>
      <c r="K16" s="12" t="s">
        <v>10</v>
      </c>
      <c r="L16" s="10">
        <f ca="1">IFERROR(__xludf.DUMMYFUNCTION("VAR.S(FILTER($B$2:$B$999, $A$2:$A$999 = F2))"),0.075)</f>
        <v>7.4999999999999997E-2</v>
      </c>
      <c r="M16" s="9">
        <f ca="1">IFERROR(__xludf.DUMMYFUNCTION("VAR.S(FILTER($C$2:$C$999, $A$2:$A$999 = F2))"),2.7)</f>
        <v>2.7</v>
      </c>
      <c r="N16" s="9">
        <f ca="1">IFERROR(__xludf.DUMMYFUNCTION("VAR.S(FILTER($D$2:$D$999, $A$2:$A$999 = F2))"),1.075)</f>
        <v>1.075</v>
      </c>
      <c r="P16">
        <f ca="1" xml:space="preserve">  (M2^2)/(L2^2)</f>
        <v>35.999999999999659</v>
      </c>
    </row>
    <row r="17" spans="1:19" ht="15.75" customHeight="1" x14ac:dyDescent="0.15">
      <c r="A17" s="3" t="s">
        <v>13</v>
      </c>
      <c r="B17" s="3">
        <v>9</v>
      </c>
      <c r="C17" s="3">
        <v>8</v>
      </c>
      <c r="D17" s="3">
        <v>8.5</v>
      </c>
      <c r="K17" s="12" t="s">
        <v>11</v>
      </c>
      <c r="L17" s="10">
        <f ca="1">IFERROR(__xludf.DUMMYFUNCTION("VAR.S(FILTER($B$2:$B$999, $A$2:$A$999 = F3))"),0.0419999999999998)</f>
        <v>4.1999999999999801E-2</v>
      </c>
      <c r="M17" s="9">
        <f ca="1">IFERROR(__xludf.DUMMYFUNCTION("VAR.S(FILTER($C$2:$C$999, $A$2:$A$999 = F3))"),0.3)</f>
        <v>0.3</v>
      </c>
      <c r="N17" s="9">
        <f ca="1">IFERROR(__xludf.DUMMYFUNCTION("VAR.S(FILTER($D$2:$D$999, $A$2:$A$999 = F3))"),0.55)</f>
        <v>0.55000000000000004</v>
      </c>
      <c r="P17">
        <f t="shared" ref="P17:P27" ca="1" si="5" xml:space="preserve">  (M3^2)/(L3^2)</f>
        <v>7.1428571428572054</v>
      </c>
      <c r="R17" s="11" t="s">
        <v>37</v>
      </c>
      <c r="S17">
        <f>_xlfn.F.TEST(G2:G13,H2:H13)</f>
        <v>0.88163255465830759</v>
      </c>
    </row>
    <row r="18" spans="1:19" ht="15.75" customHeight="1" x14ac:dyDescent="0.15">
      <c r="A18" s="3" t="s">
        <v>13</v>
      </c>
      <c r="B18" s="3">
        <v>8.5</v>
      </c>
      <c r="C18" s="3">
        <v>6.8</v>
      </c>
      <c r="D18" s="3">
        <v>7</v>
      </c>
      <c r="K18" s="12" t="s">
        <v>12</v>
      </c>
      <c r="L18" s="10">
        <f ca="1">IFERROR(__xludf.DUMMYFUNCTION("VAR.S(FILTER($B$2:$B$999, $A$2:$A$999 = F4))"),0.368)</f>
        <v>0.36799999999999999</v>
      </c>
      <c r="M18" s="9">
        <f ca="1">IFERROR(__xludf.DUMMYFUNCTION("VAR.S(FILTER($C$2:$C$999, $A$2:$A$999 = F4))"),2.308)</f>
        <v>2.3079999999999998</v>
      </c>
      <c r="N18" s="9">
        <f ca="1">IFERROR(__xludf.DUMMYFUNCTION("VAR.S(FILTER($D$2:$D$999, $A$2:$A$999 = F4))"),0.2)</f>
        <v>0.2</v>
      </c>
      <c r="P18">
        <f t="shared" ca="1" si="5"/>
        <v>6.2717391304347387</v>
      </c>
    </row>
    <row r="19" spans="1:19" ht="15.75" customHeight="1" x14ac:dyDescent="0.15">
      <c r="A19" s="3" t="s">
        <v>13</v>
      </c>
      <c r="B19" s="3">
        <v>9</v>
      </c>
      <c r="C19" s="3">
        <v>6</v>
      </c>
      <c r="D19" s="3">
        <v>7.5</v>
      </c>
      <c r="F19" s="11" t="s">
        <v>35</v>
      </c>
      <c r="K19" s="12" t="s">
        <v>13</v>
      </c>
      <c r="L19" s="10">
        <f ca="1">IFERROR(__xludf.DUMMYFUNCTION("VAR.S(FILTER($B$2:$B$999, $A$2:$A$999 = F5))"),0.375)</f>
        <v>0.375</v>
      </c>
      <c r="M19" s="9">
        <f ca="1">IFERROR(__xludf.DUMMYFUNCTION("VAR.S(FILTER($C$2:$C$999, $A$2:$A$999 = F5))"),1.34499999999999)</f>
        <v>1.34499999999999</v>
      </c>
      <c r="N19" s="9">
        <f ca="1">IFERROR(__xludf.DUMMYFUNCTION("VAR.S(FILTER($D$2:$D$999, $A$2:$A$999 = F5))"),0.425)</f>
        <v>0.42499999999999999</v>
      </c>
      <c r="P19">
        <f t="shared" ca="1" si="5"/>
        <v>3.5866666666666704</v>
      </c>
    </row>
    <row r="20" spans="1:19" ht="15.75" customHeight="1" x14ac:dyDescent="0.15">
      <c r="A20" s="3" t="s">
        <v>13</v>
      </c>
      <c r="B20" s="3">
        <v>8.5</v>
      </c>
      <c r="C20" s="3">
        <v>8.6999999999999993</v>
      </c>
      <c r="D20" s="3">
        <v>7</v>
      </c>
      <c r="K20" s="12" t="s">
        <v>14</v>
      </c>
      <c r="L20" s="10">
        <f ca="1">IFERROR(__xludf.DUMMYFUNCTION("VAR.S(FILTER($B$2:$B$999, $A$2:$A$999 = F6))"),0.412)</f>
        <v>0.41199999999999998</v>
      </c>
      <c r="M20" s="9">
        <f ca="1">IFERROR(__xludf.DUMMYFUNCTION("VAR.S(FILTER($C$2:$C$999, $A$2:$A$999 = F6))"),2.947)</f>
        <v>2.9470000000000001</v>
      </c>
      <c r="N20" s="9">
        <f ca="1">IFERROR(__xludf.DUMMYFUNCTION("VAR.S(FILTER($D$2:$D$999, $A$2:$A$999 = F6))"),0.245)</f>
        <v>0.245</v>
      </c>
      <c r="P20">
        <f t="shared" ca="1" si="5"/>
        <v>7.1529126213591603</v>
      </c>
    </row>
    <row r="21" spans="1:19" ht="15.75" customHeight="1" x14ac:dyDescent="0.15">
      <c r="A21" s="3" t="s">
        <v>13</v>
      </c>
      <c r="B21" s="3">
        <v>10</v>
      </c>
      <c r="C21" s="3">
        <v>8.5</v>
      </c>
      <c r="D21" s="3">
        <v>7</v>
      </c>
      <c r="K21" s="12" t="s">
        <v>15</v>
      </c>
      <c r="L21" s="10">
        <f ca="1">IFERROR(__xludf.DUMMYFUNCTION("VAR.S(FILTER($B$2:$B$999, $A$2:$A$999 = F7))"),0.2)</f>
        <v>0.2</v>
      </c>
      <c r="M21" s="9">
        <f ca="1">IFERROR(__xludf.DUMMYFUNCTION("VAR.S(FILTER($C$2:$C$999, $A$2:$A$999 = F7))"),0.827999999999999)</f>
        <v>0.82799999999999896</v>
      </c>
      <c r="N21" s="9">
        <f ca="1">IFERROR(__xludf.DUMMYFUNCTION("VAR.S(FILTER($D$2:$D$999, $A$2:$A$999 = F7))"),1.7)</f>
        <v>1.7</v>
      </c>
      <c r="P21">
        <f t="shared" ca="1" si="5"/>
        <v>4.1399999999999899</v>
      </c>
    </row>
    <row r="22" spans="1:19" ht="15.75" customHeight="1" x14ac:dyDescent="0.15">
      <c r="A22" s="8" t="s">
        <v>14</v>
      </c>
      <c r="B22" s="8">
        <v>6</v>
      </c>
      <c r="C22" s="8">
        <v>7.5</v>
      </c>
      <c r="D22" s="8">
        <v>6.3</v>
      </c>
      <c r="K22" s="12" t="s">
        <v>16</v>
      </c>
      <c r="L22" s="10">
        <f ca="1">IFERROR(__xludf.DUMMYFUNCTION("VAR.S(FILTER($B$2:$B$999, $A$2:$A$999 = F8))"),0)</f>
        <v>0</v>
      </c>
      <c r="M22" s="9">
        <f ca="1">IFERROR(__xludf.DUMMYFUNCTION("VAR.S(FILTER($C$2:$C$999, $A$2:$A$999 = F8))"),1.07499999999999)</f>
        <v>1.07499999999999</v>
      </c>
      <c r="N22" s="9">
        <f ca="1">IFERROR(__xludf.DUMMYFUNCTION("VAR.S(FILTER($D$2:$D$999, $A$2:$A$999 = F8))"),0.7)</f>
        <v>0.7</v>
      </c>
      <c r="P22" t="e">
        <f t="shared" ca="1" si="5"/>
        <v>#DIV/0!</v>
      </c>
    </row>
    <row r="23" spans="1:19" ht="15.75" customHeight="1" x14ac:dyDescent="0.15">
      <c r="A23" s="8" t="s">
        <v>14</v>
      </c>
      <c r="B23" s="8">
        <v>7.4</v>
      </c>
      <c r="C23" s="8">
        <v>7</v>
      </c>
      <c r="D23" s="8">
        <v>7.2</v>
      </c>
      <c r="K23" s="12" t="s">
        <v>17</v>
      </c>
      <c r="L23" s="10">
        <f ca="1">IFERROR(__xludf.DUMMYFUNCTION("VAR.S(FILTER($B$2:$B$999, $A$2:$A$999 = F9))"),0.05)</f>
        <v>0.05</v>
      </c>
      <c r="M23" s="9">
        <f ca="1">IFERROR(__xludf.DUMMYFUNCTION("VAR.S(FILTER($C$2:$C$999, $A$2:$A$999 = F9))"),1.72799999999999)</f>
        <v>1.72799999999999</v>
      </c>
      <c r="N23" s="9">
        <f ca="1">IFERROR(__xludf.DUMMYFUNCTION("VAR.S(FILTER($D$2:$D$999, $A$2:$A$999 = F9))"),0.5)</f>
        <v>0.5</v>
      </c>
      <c r="P23">
        <f t="shared" ca="1" si="5"/>
        <v>34.55999999999954</v>
      </c>
    </row>
    <row r="24" spans="1:19" ht="15.75" customHeight="1" x14ac:dyDescent="0.15">
      <c r="A24" s="8" t="s">
        <v>14</v>
      </c>
      <c r="B24" s="8">
        <v>6</v>
      </c>
      <c r="C24" s="8">
        <v>3.4</v>
      </c>
      <c r="D24" s="8">
        <v>7.5</v>
      </c>
      <c r="K24" s="12" t="s">
        <v>18</v>
      </c>
      <c r="L24" s="10">
        <f ca="1">IFERROR(__xludf.DUMMYFUNCTION("VAR.S(FILTER($B$2:$B$999, $A$2:$A$999 = F10))"),0.2)</f>
        <v>0.2</v>
      </c>
      <c r="M24" s="9">
        <f ca="1">IFERROR(__xludf.DUMMYFUNCTION("VAR.S(FILTER($C$2:$C$999, $A$2:$A$999 = F10))"),0.687999999999999)</f>
        <v>0.68799999999999895</v>
      </c>
      <c r="N24" s="9">
        <f ca="1">IFERROR(__xludf.DUMMYFUNCTION("VAR.S(FILTER($D$2:$D$999, $A$2:$A$999 = F10))"),1.5)</f>
        <v>1.5</v>
      </c>
      <c r="P24">
        <f t="shared" ca="1" si="5"/>
        <v>3.4400000000000075</v>
      </c>
    </row>
    <row r="25" spans="1:19" ht="15.75" customHeight="1" x14ac:dyDescent="0.15">
      <c r="A25" s="8" t="s">
        <v>14</v>
      </c>
      <c r="B25" s="8">
        <v>7</v>
      </c>
      <c r="C25" s="8">
        <v>6.2</v>
      </c>
      <c r="D25" s="8">
        <v>7</v>
      </c>
      <c r="K25" s="12" t="s">
        <v>19</v>
      </c>
      <c r="L25" s="10">
        <f ca="1">IFERROR(__xludf.DUMMYFUNCTION("VAR.S(FILTER($B$2:$B$999, $A$2:$A$999 = F11))"),0.25)</f>
        <v>0.25</v>
      </c>
      <c r="M25" s="9">
        <f ca="1">IFERROR(__xludf.DUMMYFUNCTION("VAR.S(FILTER($C$2:$C$999, $A$2:$A$999 = F11))"),2.728)</f>
        <v>2.7280000000000002</v>
      </c>
      <c r="N25" s="9">
        <f ca="1">IFERROR(__xludf.DUMMYFUNCTION("VAR.S(FILTER($D$2:$D$999, $A$2:$A$999 = F11))"),1.69999999999999)</f>
        <v>1.69999999999999</v>
      </c>
      <c r="P25">
        <f t="shared" ca="1" si="5"/>
        <v>10.911999999999919</v>
      </c>
    </row>
    <row r="26" spans="1:19" ht="15.75" customHeight="1" x14ac:dyDescent="0.15">
      <c r="A26" s="8" t="s">
        <v>14</v>
      </c>
      <c r="B26" s="8">
        <v>6.2</v>
      </c>
      <c r="C26" s="8">
        <v>7.5</v>
      </c>
      <c r="D26" s="8">
        <v>7.5</v>
      </c>
      <c r="K26" s="12" t="s">
        <v>20</v>
      </c>
      <c r="L26" s="10" cm="1">
        <f t="array" aca="1" ref="L26" ca="1">IFERROR(__xludf.DUMMYFUNCTION("VAR.S(FILTER($B$2:$B$999, $A$2:$A$999 = F12))"),0.425)</f>
        <v>0.42499999999999999</v>
      </c>
      <c r="M26" s="9">
        <f ca="1">IFERROR(__xludf.DUMMYFUNCTION("VAR.S(FILTER($C$2:$C$999, $A$2:$A$999 = F12))"),6.2)</f>
        <v>6.2</v>
      </c>
      <c r="N26" s="9">
        <f ca="1">IFERROR(__xludf.DUMMYFUNCTION("VAR.S(FILTER($D$2:$D$999, $A$2:$A$999 = F12))"),0.3)</f>
        <v>0.3</v>
      </c>
      <c r="P26">
        <f t="shared" ca="1" si="5"/>
        <v>14.588235294117613</v>
      </c>
    </row>
    <row r="27" spans="1:19" ht="15.75" customHeight="1" x14ac:dyDescent="0.15">
      <c r="A27" s="7" t="s">
        <v>15</v>
      </c>
      <c r="B27" s="7">
        <v>6</v>
      </c>
      <c r="C27" s="7">
        <v>6</v>
      </c>
      <c r="D27" s="7">
        <v>5</v>
      </c>
      <c r="K27" s="12" t="s">
        <v>21</v>
      </c>
      <c r="L27" s="11">
        <v>0.67500000000000004</v>
      </c>
      <c r="M27" s="11">
        <v>2.863</v>
      </c>
      <c r="N27" s="11">
        <v>0.42499999999999999</v>
      </c>
      <c r="P27">
        <f t="shared" ca="1" si="5"/>
        <v>4.2414814814814736</v>
      </c>
    </row>
    <row r="28" spans="1:19" ht="15.75" customHeight="1" x14ac:dyDescent="0.15">
      <c r="A28" s="7" t="s">
        <v>15</v>
      </c>
      <c r="B28" s="7">
        <v>6</v>
      </c>
      <c r="C28" s="7">
        <v>7</v>
      </c>
      <c r="D28" s="7">
        <v>8</v>
      </c>
    </row>
    <row r="29" spans="1:19" ht="15.75" customHeight="1" x14ac:dyDescent="0.15">
      <c r="A29" s="7" t="s">
        <v>15</v>
      </c>
      <c r="B29" s="7">
        <v>5</v>
      </c>
      <c r="C29" s="7">
        <v>6</v>
      </c>
      <c r="D29" s="7">
        <v>8</v>
      </c>
      <c r="R29" s="11" t="s">
        <v>34</v>
      </c>
    </row>
    <row r="30" spans="1:19" ht="15.75" customHeight="1" x14ac:dyDescent="0.15">
      <c r="A30" s="7" t="s">
        <v>15</v>
      </c>
      <c r="B30" s="7">
        <v>6</v>
      </c>
      <c r="C30" s="7">
        <v>7</v>
      </c>
      <c r="D30" s="7">
        <v>7</v>
      </c>
    </row>
    <row r="31" spans="1:19" ht="15.75" customHeight="1" x14ac:dyDescent="0.15">
      <c r="A31" s="7" t="s">
        <v>15</v>
      </c>
      <c r="B31" s="7">
        <v>6</v>
      </c>
      <c r="C31" s="7">
        <v>8.1999999999999993</v>
      </c>
      <c r="D31" s="7">
        <v>8</v>
      </c>
    </row>
    <row r="32" spans="1:19" ht="15.75" customHeight="1" x14ac:dyDescent="0.15">
      <c r="A32" s="3" t="s">
        <v>16</v>
      </c>
      <c r="B32" s="3">
        <v>5</v>
      </c>
      <c r="C32" s="3">
        <v>3.5</v>
      </c>
      <c r="D32" s="3">
        <v>4</v>
      </c>
    </row>
    <row r="33" spans="1:8" ht="15.75" customHeight="1" x14ac:dyDescent="0.15">
      <c r="A33" s="3" t="s">
        <v>16</v>
      </c>
      <c r="B33" s="3">
        <v>5</v>
      </c>
      <c r="C33" s="3">
        <v>4</v>
      </c>
      <c r="D33" s="3">
        <v>5</v>
      </c>
    </row>
    <row r="34" spans="1:8" ht="15.75" customHeight="1" x14ac:dyDescent="0.15">
      <c r="A34" s="3" t="s">
        <v>16</v>
      </c>
      <c r="B34" s="3">
        <v>5</v>
      </c>
      <c r="C34" s="3">
        <v>5</v>
      </c>
      <c r="D34" s="3">
        <v>6</v>
      </c>
    </row>
    <row r="35" spans="1:8" ht="15.75" customHeight="1" x14ac:dyDescent="0.15">
      <c r="A35" s="3" t="s">
        <v>16</v>
      </c>
      <c r="B35" s="3">
        <v>5</v>
      </c>
      <c r="C35" s="3">
        <v>6</v>
      </c>
      <c r="D35" s="3">
        <v>5.5</v>
      </c>
    </row>
    <row r="36" spans="1:8" ht="15.75" customHeight="1" x14ac:dyDescent="0.15">
      <c r="A36" s="3" t="s">
        <v>16</v>
      </c>
      <c r="B36" s="3">
        <v>5</v>
      </c>
      <c r="C36" s="3">
        <v>5.5</v>
      </c>
      <c r="D36" s="3">
        <v>6</v>
      </c>
    </row>
    <row r="37" spans="1:8" ht="15.75" customHeight="1" x14ac:dyDescent="0.15">
      <c r="A37" s="8" t="s">
        <v>17</v>
      </c>
      <c r="B37" s="8">
        <v>7.5</v>
      </c>
      <c r="C37" s="8">
        <v>6.2</v>
      </c>
      <c r="D37" s="8">
        <v>8</v>
      </c>
    </row>
    <row r="38" spans="1:8" ht="15.75" customHeight="1" x14ac:dyDescent="0.15">
      <c r="A38" s="8" t="s">
        <v>17</v>
      </c>
      <c r="B38" s="8">
        <v>8</v>
      </c>
      <c r="C38" s="8">
        <v>9</v>
      </c>
      <c r="D38" s="8">
        <v>8</v>
      </c>
    </row>
    <row r="39" spans="1:8" ht="15.75" customHeight="1" x14ac:dyDescent="0.15">
      <c r="A39" s="8" t="s">
        <v>17</v>
      </c>
      <c r="B39" s="8">
        <v>8</v>
      </c>
      <c r="C39" s="8">
        <v>8</v>
      </c>
      <c r="D39" s="8">
        <v>7</v>
      </c>
    </row>
    <row r="40" spans="1:8" ht="15.75" customHeight="1" x14ac:dyDescent="0.15">
      <c r="A40" s="8" t="s">
        <v>17</v>
      </c>
      <c r="B40" s="8">
        <v>8</v>
      </c>
      <c r="C40" s="8">
        <v>9.5</v>
      </c>
      <c r="D40" s="8">
        <v>8</v>
      </c>
    </row>
    <row r="41" spans="1:8" ht="15.75" customHeight="1" x14ac:dyDescent="0.15">
      <c r="A41" s="8" t="s">
        <v>17</v>
      </c>
      <c r="B41" s="8">
        <v>8</v>
      </c>
      <c r="C41" s="8">
        <v>9</v>
      </c>
      <c r="D41" s="8">
        <v>9</v>
      </c>
    </row>
    <row r="42" spans="1:8" ht="15.75" customHeight="1" x14ac:dyDescent="0.15">
      <c r="A42" s="7" t="s">
        <v>18</v>
      </c>
      <c r="B42" s="7">
        <v>6</v>
      </c>
      <c r="C42" s="7">
        <v>7</v>
      </c>
      <c r="D42" s="7">
        <v>8</v>
      </c>
    </row>
    <row r="43" spans="1:8" ht="15.75" customHeight="1" x14ac:dyDescent="0.15">
      <c r="A43" s="7" t="s">
        <v>18</v>
      </c>
      <c r="B43" s="7">
        <v>6</v>
      </c>
      <c r="C43" s="7">
        <v>6.2</v>
      </c>
      <c r="D43" s="7">
        <v>6</v>
      </c>
    </row>
    <row r="44" spans="1:8" ht="15.75" customHeight="1" x14ac:dyDescent="0.15">
      <c r="A44" s="7" t="s">
        <v>18</v>
      </c>
      <c r="B44" s="7">
        <v>6</v>
      </c>
      <c r="C44" s="7">
        <v>5</v>
      </c>
      <c r="D44" s="7">
        <v>9</v>
      </c>
    </row>
    <row r="45" spans="1:8" ht="15.75" customHeight="1" x14ac:dyDescent="0.15">
      <c r="A45" s="7" t="s">
        <v>18</v>
      </c>
      <c r="B45" s="7">
        <v>7</v>
      </c>
      <c r="C45" s="7">
        <v>6</v>
      </c>
      <c r="D45" s="7">
        <v>6.5</v>
      </c>
    </row>
    <row r="46" spans="1:8" ht="15.75" customHeight="1" x14ac:dyDescent="0.15">
      <c r="A46" s="7" t="s">
        <v>18</v>
      </c>
      <c r="B46" s="7">
        <v>6</v>
      </c>
      <c r="C46" s="7">
        <v>7</v>
      </c>
      <c r="D46" s="7">
        <v>8</v>
      </c>
    </row>
    <row r="47" spans="1:8" ht="13" x14ac:dyDescent="0.15">
      <c r="A47" s="3" t="s">
        <v>19</v>
      </c>
      <c r="B47" s="3">
        <v>6</v>
      </c>
      <c r="C47" s="3">
        <v>7</v>
      </c>
      <c r="D47" s="3">
        <v>8</v>
      </c>
    </row>
    <row r="48" spans="1:8" ht="13" x14ac:dyDescent="0.15">
      <c r="A48" s="3" t="s">
        <v>19</v>
      </c>
      <c r="B48" s="3">
        <v>5</v>
      </c>
      <c r="C48" s="3">
        <v>3</v>
      </c>
      <c r="D48" s="3">
        <v>5</v>
      </c>
      <c r="G48" s="11" t="s">
        <v>26</v>
      </c>
      <c r="H48">
        <f>_xlfn.T.TEST(G2:G13, H2:H13, 2, 1)</f>
        <v>0.28383924651757991</v>
      </c>
    </row>
    <row r="49" spans="1:7" ht="13" x14ac:dyDescent="0.15">
      <c r="A49" s="3" t="s">
        <v>19</v>
      </c>
      <c r="B49" s="3">
        <v>5.5</v>
      </c>
      <c r="C49" s="3">
        <v>7</v>
      </c>
      <c r="D49" s="3">
        <v>6</v>
      </c>
      <c r="G49" s="11"/>
    </row>
    <row r="50" spans="1:7" ht="13" x14ac:dyDescent="0.15">
      <c r="A50" s="3" t="s">
        <v>19</v>
      </c>
      <c r="B50" s="3">
        <v>6</v>
      </c>
      <c r="C50" s="3">
        <v>6</v>
      </c>
      <c r="D50" s="3">
        <v>5</v>
      </c>
    </row>
    <row r="51" spans="1:7" ht="13" x14ac:dyDescent="0.15">
      <c r="A51" s="3" t="s">
        <v>19</v>
      </c>
      <c r="B51" s="3">
        <v>5</v>
      </c>
      <c r="C51" s="3">
        <v>6.2</v>
      </c>
      <c r="D51" s="3">
        <v>5</v>
      </c>
    </row>
    <row r="52" spans="1:7" ht="13" x14ac:dyDescent="0.15">
      <c r="A52" s="8" t="s">
        <v>20</v>
      </c>
      <c r="B52" s="8">
        <v>4</v>
      </c>
      <c r="C52" s="8">
        <v>6</v>
      </c>
      <c r="D52" s="8">
        <v>4</v>
      </c>
    </row>
    <row r="53" spans="1:7" ht="13" x14ac:dyDescent="0.15">
      <c r="A53" s="8" t="s">
        <v>20</v>
      </c>
      <c r="B53" s="8">
        <v>5.5</v>
      </c>
      <c r="C53" s="8">
        <v>1</v>
      </c>
      <c r="D53" s="8">
        <v>5</v>
      </c>
    </row>
    <row r="54" spans="1:7" ht="13" x14ac:dyDescent="0.15">
      <c r="A54" s="8" t="s">
        <v>20</v>
      </c>
      <c r="B54" s="8">
        <v>5.5</v>
      </c>
      <c r="C54" s="8">
        <v>6</v>
      </c>
      <c r="D54" s="8">
        <v>4</v>
      </c>
    </row>
    <row r="55" spans="1:7" ht="13" x14ac:dyDescent="0.15">
      <c r="A55" s="8" t="s">
        <v>20</v>
      </c>
      <c r="B55" s="8">
        <v>5.5</v>
      </c>
      <c r="C55" s="8">
        <v>2</v>
      </c>
      <c r="D55" s="8">
        <v>5</v>
      </c>
    </row>
    <row r="56" spans="1:7" ht="13" x14ac:dyDescent="0.15">
      <c r="A56" s="8" t="s">
        <v>20</v>
      </c>
      <c r="B56" s="8">
        <v>5</v>
      </c>
      <c r="C56" s="8">
        <v>6</v>
      </c>
      <c r="D56" s="8">
        <v>4</v>
      </c>
    </row>
    <row r="57" spans="1:7" ht="13" x14ac:dyDescent="0.15">
      <c r="A57" s="7" t="s">
        <v>21</v>
      </c>
      <c r="B57" s="7">
        <v>8</v>
      </c>
      <c r="C57" s="7">
        <v>9</v>
      </c>
      <c r="D57" s="7">
        <v>6.5</v>
      </c>
    </row>
    <row r="58" spans="1:7" ht="13" x14ac:dyDescent="0.15">
      <c r="A58" s="7" t="s">
        <v>21</v>
      </c>
      <c r="B58" s="7">
        <v>7</v>
      </c>
      <c r="C58" s="7">
        <v>6</v>
      </c>
      <c r="D58" s="7">
        <v>7.5</v>
      </c>
    </row>
    <row r="59" spans="1:7" ht="13" x14ac:dyDescent="0.15">
      <c r="A59" s="7" t="s">
        <v>21</v>
      </c>
      <c r="B59" s="7">
        <v>8.5</v>
      </c>
      <c r="C59" s="7">
        <v>6.5</v>
      </c>
      <c r="D59" s="7">
        <v>6.5</v>
      </c>
    </row>
    <row r="60" spans="1:7" ht="13" x14ac:dyDescent="0.15">
      <c r="A60" s="7" t="s">
        <v>21</v>
      </c>
      <c r="B60" s="7">
        <v>7</v>
      </c>
      <c r="C60" s="7">
        <v>10</v>
      </c>
      <c r="D60" s="7">
        <v>7</v>
      </c>
    </row>
    <row r="61" spans="1:7" ht="13" x14ac:dyDescent="0.15">
      <c r="A61" s="7" t="s">
        <v>21</v>
      </c>
      <c r="B61" s="7">
        <v>6.5</v>
      </c>
      <c r="C61" s="7">
        <v>7.3</v>
      </c>
      <c r="D61" s="7">
        <v>8</v>
      </c>
    </row>
  </sheetData>
  <phoneticPr fontId="8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41"/>
  <sheetViews>
    <sheetView zoomScale="61" workbookViewId="0">
      <selection activeCell="K8" sqref="K8:M12"/>
    </sheetView>
  </sheetViews>
  <sheetFormatPr baseColWidth="10" defaultColWidth="12.6640625" defaultRowHeight="15.75" customHeight="1" x14ac:dyDescent="0.15"/>
  <cols>
    <col min="1" max="1" width="16.1640625" customWidth="1"/>
    <col min="4" max="4" width="16.1640625" customWidth="1"/>
    <col min="7" max="7" width="16.1640625" customWidth="1"/>
    <col min="13" max="13" width="14" customWidth="1"/>
    <col min="15" max="15" width="13.33203125" customWidth="1"/>
  </cols>
  <sheetData>
    <row r="1" spans="1:17" ht="15.75" customHeight="1" x14ac:dyDescent="0.15">
      <c r="A1" s="14" t="s">
        <v>40</v>
      </c>
      <c r="B1" s="14" t="s">
        <v>43</v>
      </c>
      <c r="C1" s="14" t="s">
        <v>44</v>
      </c>
      <c r="D1" s="14" t="s">
        <v>40</v>
      </c>
      <c r="E1" s="14" t="s">
        <v>43</v>
      </c>
      <c r="F1" s="14" t="s">
        <v>45</v>
      </c>
      <c r="G1" s="14" t="s">
        <v>40</v>
      </c>
      <c r="H1" s="14" t="s">
        <v>43</v>
      </c>
      <c r="I1" s="14" t="s">
        <v>45</v>
      </c>
    </row>
    <row r="2" spans="1:17" ht="15.75" customHeight="1" x14ac:dyDescent="0.15">
      <c r="A2" s="15" t="s">
        <v>10</v>
      </c>
      <c r="B2">
        <v>6.5</v>
      </c>
      <c r="C2" s="18">
        <v>-0.5</v>
      </c>
      <c r="D2" s="15" t="s">
        <v>11</v>
      </c>
      <c r="E2">
        <v>7</v>
      </c>
      <c r="F2" s="18">
        <v>-0.5</v>
      </c>
      <c r="G2" s="15" t="s">
        <v>12</v>
      </c>
      <c r="H2">
        <v>1</v>
      </c>
      <c r="I2">
        <v>0</v>
      </c>
      <c r="L2" s="14" t="s">
        <v>49</v>
      </c>
      <c r="M2" s="14" t="s">
        <v>50</v>
      </c>
      <c r="N2" s="14" t="s">
        <v>51</v>
      </c>
      <c r="O2" s="14" t="s">
        <v>50</v>
      </c>
      <c r="P2" s="14" t="s">
        <v>52</v>
      </c>
      <c r="Q2" s="14" t="s">
        <v>50</v>
      </c>
    </row>
    <row r="3" spans="1:17" ht="15.75" customHeight="1" x14ac:dyDescent="0.15">
      <c r="A3" s="15" t="s">
        <v>10</v>
      </c>
      <c r="B3">
        <v>5</v>
      </c>
      <c r="C3" s="18">
        <v>-0.5</v>
      </c>
      <c r="D3" s="15" t="s">
        <v>11</v>
      </c>
      <c r="E3">
        <v>5</v>
      </c>
      <c r="F3" s="18">
        <v>-0.5</v>
      </c>
      <c r="G3" s="15" t="s">
        <v>12</v>
      </c>
      <c r="H3">
        <v>3</v>
      </c>
      <c r="I3" s="19">
        <v>-0.5</v>
      </c>
      <c r="K3" s="14" t="s">
        <v>46</v>
      </c>
      <c r="L3">
        <f>AVERAGE(B2:B13)</f>
        <v>6.208333333333333</v>
      </c>
      <c r="M3">
        <f>AVERAGE(C2:C13)</f>
        <v>-0.54166666666666663</v>
      </c>
      <c r="N3">
        <f>AVERAGE(E2:E13)</f>
        <v>7.0083333333333329</v>
      </c>
      <c r="O3">
        <f>AVERAGE(F2:F13)</f>
        <v>-0.46666666666666662</v>
      </c>
      <c r="P3">
        <f>AVERAGE(H2:H13)</f>
        <v>1.4666666666666668</v>
      </c>
      <c r="Q3">
        <f>AVERAGE(I2:I13)</f>
        <v>-0.25833333333333336</v>
      </c>
    </row>
    <row r="4" spans="1:17" ht="15.75" customHeight="1" x14ac:dyDescent="0.15">
      <c r="A4" s="15" t="s">
        <v>10</v>
      </c>
      <c r="B4">
        <v>7</v>
      </c>
      <c r="C4" s="18">
        <v>-0.5</v>
      </c>
      <c r="D4" s="15" t="s">
        <v>11</v>
      </c>
      <c r="E4">
        <v>8</v>
      </c>
      <c r="F4" s="18">
        <v>-0.5</v>
      </c>
      <c r="G4" s="15" t="s">
        <v>12</v>
      </c>
      <c r="H4">
        <v>1</v>
      </c>
      <c r="I4" s="19">
        <v>-0.3</v>
      </c>
      <c r="K4" s="14" t="s">
        <v>47</v>
      </c>
      <c r="L4">
        <f>AVERAGE(B16:B27)</f>
        <v>7.125</v>
      </c>
      <c r="M4">
        <f>AVERAGE(C16:C27)</f>
        <v>-4.1666666666666664E-2</v>
      </c>
      <c r="N4">
        <f>AVERAGE(E16:E27)</f>
        <v>8.375</v>
      </c>
      <c r="O4">
        <f>AVERAGE(F16:F27)</f>
        <v>-5.8333333333333327E-2</v>
      </c>
      <c r="P4">
        <f>AVERAGE(H16:H27)</f>
        <v>2.9500000000000006</v>
      </c>
      <c r="Q4">
        <f>AVERAGE(I16:I27)</f>
        <v>1.6666666666666666E-2</v>
      </c>
    </row>
    <row r="5" spans="1:17" ht="15.75" customHeight="1" x14ac:dyDescent="0.15">
      <c r="A5" s="15" t="s">
        <v>10</v>
      </c>
      <c r="B5">
        <v>5.5</v>
      </c>
      <c r="C5" s="18">
        <v>-0.5</v>
      </c>
      <c r="D5" s="15" t="s">
        <v>11</v>
      </c>
      <c r="E5">
        <v>7</v>
      </c>
      <c r="F5" s="18">
        <v>-0.5</v>
      </c>
      <c r="G5" s="15" t="s">
        <v>12</v>
      </c>
      <c r="H5">
        <v>2</v>
      </c>
      <c r="I5">
        <v>0</v>
      </c>
      <c r="K5" s="14" t="s">
        <v>48</v>
      </c>
      <c r="L5">
        <f>AVERAGE(B30:B41)</f>
        <v>6.4416666666666664</v>
      </c>
      <c r="M5">
        <f>AVERAGE(C30:C41)</f>
        <v>0</v>
      </c>
      <c r="N5">
        <f>AVERAGE(E30:E41)</f>
        <v>8.1666666666666661</v>
      </c>
      <c r="O5">
        <f>AVERAGE(F30:F41)</f>
        <v>0</v>
      </c>
      <c r="P5">
        <f>AVERAGE(H30:H41)</f>
        <v>3</v>
      </c>
      <c r="Q5">
        <f>AVERAGE(I30:I41)</f>
        <v>0</v>
      </c>
    </row>
    <row r="6" spans="1:17" ht="15.75" customHeight="1" x14ac:dyDescent="0.15">
      <c r="A6" s="15" t="s">
        <v>10</v>
      </c>
      <c r="B6">
        <v>7</v>
      </c>
      <c r="C6" s="18">
        <v>-0.5</v>
      </c>
      <c r="D6" s="15" t="s">
        <v>11</v>
      </c>
      <c r="E6">
        <v>7</v>
      </c>
      <c r="F6" s="18">
        <v>-0.5</v>
      </c>
      <c r="G6" s="15" t="s">
        <v>12</v>
      </c>
      <c r="H6">
        <v>2</v>
      </c>
      <c r="I6" s="19">
        <v>-0.5</v>
      </c>
    </row>
    <row r="7" spans="1:17" ht="15.75" customHeight="1" x14ac:dyDescent="0.15">
      <c r="A7" s="15" t="s">
        <v>10</v>
      </c>
      <c r="B7">
        <v>7</v>
      </c>
      <c r="C7" s="18">
        <v>-0.5</v>
      </c>
      <c r="D7" s="15" t="s">
        <v>11</v>
      </c>
      <c r="E7">
        <v>6.1</v>
      </c>
      <c r="F7" s="18">
        <v>-0.5</v>
      </c>
      <c r="G7" s="15" t="s">
        <v>12</v>
      </c>
      <c r="H7">
        <v>1</v>
      </c>
      <c r="I7" s="19">
        <v>-0.2</v>
      </c>
      <c r="P7" s="14" t="s">
        <v>60</v>
      </c>
    </row>
    <row r="8" spans="1:17" ht="15.75" customHeight="1" x14ac:dyDescent="0.15">
      <c r="A8" s="15" t="s">
        <v>10</v>
      </c>
      <c r="B8">
        <v>7</v>
      </c>
      <c r="C8" s="18">
        <v>-0.5</v>
      </c>
      <c r="D8" s="15" t="s">
        <v>11</v>
      </c>
      <c r="E8">
        <v>6</v>
      </c>
      <c r="F8" s="18">
        <v>-0.3</v>
      </c>
      <c r="G8" s="15" t="s">
        <v>12</v>
      </c>
      <c r="H8">
        <v>0.6</v>
      </c>
      <c r="I8" s="19">
        <v>-0.1</v>
      </c>
      <c r="K8" s="21" t="s">
        <v>54</v>
      </c>
      <c r="L8" s="22"/>
      <c r="M8" s="22"/>
      <c r="O8" s="14" t="s">
        <v>57</v>
      </c>
      <c r="P8">
        <f>AVERAGE(C2:C13,F2:F13,I2:I13)</f>
        <v>-0.42222222222222222</v>
      </c>
    </row>
    <row r="9" spans="1:17" ht="15.75" customHeight="1" x14ac:dyDescent="0.15">
      <c r="A9" s="15" t="s">
        <v>10</v>
      </c>
      <c r="B9">
        <v>5</v>
      </c>
      <c r="C9" s="18">
        <v>-0.5</v>
      </c>
      <c r="D9" s="15" t="s">
        <v>11</v>
      </c>
      <c r="E9">
        <v>8</v>
      </c>
      <c r="F9" s="1">
        <v>0</v>
      </c>
      <c r="G9" s="15" t="s">
        <v>12</v>
      </c>
      <c r="H9">
        <v>1.4</v>
      </c>
      <c r="I9" s="19">
        <v>-0.2</v>
      </c>
      <c r="K9" s="22"/>
      <c r="L9" s="22"/>
      <c r="M9" s="22"/>
      <c r="O9" s="14" t="s">
        <v>58</v>
      </c>
      <c r="P9">
        <f>AVERAGE(C16:C27,F16:F27,I16:I27)</f>
        <v>-2.7777777777777776E-2</v>
      </c>
    </row>
    <row r="10" spans="1:17" ht="15.75" customHeight="1" x14ac:dyDescent="0.15">
      <c r="A10" s="15" t="s">
        <v>10</v>
      </c>
      <c r="B10">
        <v>6</v>
      </c>
      <c r="C10" s="18">
        <v>-1</v>
      </c>
      <c r="D10" s="15" t="s">
        <v>11</v>
      </c>
      <c r="E10">
        <v>5.8</v>
      </c>
      <c r="F10" s="18">
        <v>-0.3</v>
      </c>
      <c r="G10" s="15" t="s">
        <v>12</v>
      </c>
      <c r="H10">
        <v>2</v>
      </c>
      <c r="I10" s="19">
        <v>-0.5</v>
      </c>
      <c r="K10" s="22"/>
      <c r="L10" s="22"/>
      <c r="M10" s="22"/>
      <c r="O10" s="14" t="s">
        <v>59</v>
      </c>
      <c r="P10">
        <f>AVERAGE(F30:F41,I30:I41,C30:C41)</f>
        <v>0</v>
      </c>
    </row>
    <row r="11" spans="1:17" ht="15.75" customHeight="1" x14ac:dyDescent="0.15">
      <c r="A11" s="15" t="s">
        <v>10</v>
      </c>
      <c r="B11">
        <v>5</v>
      </c>
      <c r="C11" s="18">
        <v>-0.5</v>
      </c>
      <c r="D11" s="15" t="s">
        <v>11</v>
      </c>
      <c r="E11">
        <v>6.7</v>
      </c>
      <c r="F11" s="18">
        <v>-0.5</v>
      </c>
      <c r="G11" s="15" t="s">
        <v>12</v>
      </c>
      <c r="H11">
        <v>1</v>
      </c>
      <c r="I11" s="19">
        <v>-0.1</v>
      </c>
      <c r="K11" s="22"/>
      <c r="L11" s="22"/>
      <c r="M11" s="22"/>
    </row>
    <row r="12" spans="1:17" ht="15.75" customHeight="1" x14ac:dyDescent="0.15">
      <c r="A12" s="15" t="s">
        <v>10</v>
      </c>
      <c r="B12">
        <v>6</v>
      </c>
      <c r="C12" s="18">
        <v>-0.5</v>
      </c>
      <c r="D12" s="15" t="s">
        <v>11</v>
      </c>
      <c r="E12">
        <v>10</v>
      </c>
      <c r="F12" s="18">
        <v>-1</v>
      </c>
      <c r="G12" s="15" t="s">
        <v>12</v>
      </c>
      <c r="H12">
        <v>1</v>
      </c>
      <c r="I12" s="19">
        <v>-0.5</v>
      </c>
      <c r="K12" s="22"/>
      <c r="L12" s="22"/>
      <c r="M12" s="22"/>
    </row>
    <row r="13" spans="1:17" ht="15.75" customHeight="1" x14ac:dyDescent="0.15">
      <c r="A13" s="15" t="s">
        <v>10</v>
      </c>
      <c r="B13">
        <v>7.5</v>
      </c>
      <c r="C13" s="18">
        <v>-0.5</v>
      </c>
      <c r="D13" s="15" t="s">
        <v>11</v>
      </c>
      <c r="E13">
        <v>7.5</v>
      </c>
      <c r="F13" s="18">
        <v>-0.5</v>
      </c>
      <c r="G13" s="15" t="s">
        <v>12</v>
      </c>
      <c r="H13">
        <v>1.6</v>
      </c>
      <c r="I13" s="19">
        <v>-0.2</v>
      </c>
    </row>
    <row r="14" spans="1:17" ht="15.75" customHeight="1" x14ac:dyDescent="0.15">
      <c r="A14" s="14"/>
      <c r="K14" s="23" t="s">
        <v>55</v>
      </c>
      <c r="L14" s="23"/>
      <c r="M14" s="23"/>
      <c r="N14" s="23"/>
    </row>
    <row r="15" spans="1:17" ht="15.75" customHeight="1" x14ac:dyDescent="0.15">
      <c r="A15" s="14" t="s">
        <v>41</v>
      </c>
      <c r="D15" s="14" t="s">
        <v>41</v>
      </c>
      <c r="G15" s="14" t="s">
        <v>41</v>
      </c>
      <c r="K15" s="23"/>
      <c r="L15" s="23"/>
      <c r="M15" s="23"/>
      <c r="N15" s="23"/>
    </row>
    <row r="16" spans="1:17" ht="15.75" customHeight="1" x14ac:dyDescent="0.15">
      <c r="A16" s="16" t="s">
        <v>10</v>
      </c>
      <c r="B16">
        <v>6</v>
      </c>
      <c r="C16">
        <v>0</v>
      </c>
      <c r="D16" s="16" t="s">
        <v>11</v>
      </c>
      <c r="E16">
        <v>8</v>
      </c>
      <c r="F16">
        <v>0</v>
      </c>
      <c r="G16" s="16" t="s">
        <v>12</v>
      </c>
      <c r="H16">
        <v>3</v>
      </c>
      <c r="I16">
        <v>0</v>
      </c>
      <c r="K16" s="23"/>
      <c r="L16" s="23"/>
      <c r="M16" s="23"/>
      <c r="N16" s="23"/>
    </row>
    <row r="17" spans="1:14" ht="15.75" customHeight="1" x14ac:dyDescent="0.15">
      <c r="A17" s="16" t="s">
        <v>10</v>
      </c>
      <c r="B17">
        <v>8</v>
      </c>
      <c r="C17">
        <v>0</v>
      </c>
      <c r="D17" s="16" t="s">
        <v>11</v>
      </c>
      <c r="E17">
        <v>9.5</v>
      </c>
      <c r="F17">
        <v>0</v>
      </c>
      <c r="G17" s="16" t="s">
        <v>12</v>
      </c>
      <c r="H17">
        <v>2.6</v>
      </c>
      <c r="I17" s="19">
        <v>-0.1</v>
      </c>
      <c r="K17" s="23"/>
      <c r="L17" s="23"/>
      <c r="M17" s="23"/>
      <c r="N17" s="23"/>
    </row>
    <row r="18" spans="1:14" ht="15.75" customHeight="1" x14ac:dyDescent="0.15">
      <c r="A18" s="16" t="s">
        <v>10</v>
      </c>
      <c r="B18">
        <v>8</v>
      </c>
      <c r="C18">
        <v>0</v>
      </c>
      <c r="D18" s="16" t="s">
        <v>11</v>
      </c>
      <c r="E18">
        <v>8</v>
      </c>
      <c r="F18">
        <v>0</v>
      </c>
      <c r="G18" s="16" t="s">
        <v>12</v>
      </c>
      <c r="H18">
        <v>3</v>
      </c>
      <c r="I18">
        <v>0</v>
      </c>
      <c r="K18" s="23"/>
      <c r="L18" s="23"/>
      <c r="M18" s="23"/>
      <c r="N18" s="23"/>
    </row>
    <row r="19" spans="1:14" ht="15.75" customHeight="1" x14ac:dyDescent="0.15">
      <c r="A19" s="16" t="s">
        <v>10</v>
      </c>
      <c r="B19">
        <v>9.5</v>
      </c>
      <c r="C19">
        <v>0</v>
      </c>
      <c r="D19" s="16" t="s">
        <v>11</v>
      </c>
      <c r="E19">
        <v>7</v>
      </c>
      <c r="F19">
        <v>0</v>
      </c>
      <c r="G19" s="16" t="s">
        <v>12</v>
      </c>
      <c r="H19">
        <v>3</v>
      </c>
      <c r="I19">
        <v>0</v>
      </c>
      <c r="K19" s="23"/>
      <c r="L19" s="23"/>
      <c r="M19" s="23"/>
      <c r="N19" s="23"/>
    </row>
    <row r="20" spans="1:14" ht="15.75" customHeight="1" x14ac:dyDescent="0.15">
      <c r="A20" s="16" t="s">
        <v>10</v>
      </c>
      <c r="B20">
        <v>8</v>
      </c>
      <c r="C20">
        <v>0</v>
      </c>
      <c r="D20" s="16" t="s">
        <v>11</v>
      </c>
      <c r="E20">
        <v>8</v>
      </c>
      <c r="F20">
        <v>0</v>
      </c>
      <c r="G20" s="16" t="s">
        <v>12</v>
      </c>
      <c r="H20">
        <v>5</v>
      </c>
      <c r="I20" s="20">
        <v>0.5</v>
      </c>
      <c r="K20" s="23"/>
      <c r="L20" s="23"/>
      <c r="M20" s="23"/>
      <c r="N20" s="23"/>
    </row>
    <row r="21" spans="1:14" ht="15.75" customHeight="1" x14ac:dyDescent="0.15">
      <c r="A21" s="16" t="s">
        <v>10</v>
      </c>
      <c r="B21">
        <v>4</v>
      </c>
      <c r="C21" s="18">
        <v>-0.5</v>
      </c>
      <c r="D21" s="16" t="s">
        <v>11</v>
      </c>
      <c r="E21">
        <v>8</v>
      </c>
      <c r="F21" s="19">
        <v>-0.2</v>
      </c>
      <c r="G21" s="16" t="s">
        <v>12</v>
      </c>
      <c r="H21">
        <v>3.3</v>
      </c>
      <c r="I21">
        <v>0</v>
      </c>
      <c r="K21" s="23"/>
      <c r="L21" s="23"/>
      <c r="M21" s="23"/>
      <c r="N21" s="23"/>
    </row>
    <row r="22" spans="1:14" ht="15.75" customHeight="1" x14ac:dyDescent="0.15">
      <c r="A22" s="16" t="s">
        <v>10</v>
      </c>
      <c r="B22">
        <v>6</v>
      </c>
      <c r="C22">
        <v>0</v>
      </c>
      <c r="D22" s="16" t="s">
        <v>11</v>
      </c>
      <c r="E22">
        <v>9</v>
      </c>
      <c r="F22">
        <v>0</v>
      </c>
      <c r="G22" s="16" t="s">
        <v>12</v>
      </c>
      <c r="H22">
        <v>2</v>
      </c>
      <c r="I22" s="19">
        <v>-0.2</v>
      </c>
      <c r="K22" s="23"/>
      <c r="L22" s="23"/>
      <c r="M22" s="23"/>
      <c r="N22" s="23"/>
    </row>
    <row r="23" spans="1:14" ht="15.75" customHeight="1" x14ac:dyDescent="0.15">
      <c r="A23" s="16" t="s">
        <v>10</v>
      </c>
      <c r="B23">
        <v>7</v>
      </c>
      <c r="C23">
        <v>0</v>
      </c>
      <c r="D23" s="16" t="s">
        <v>11</v>
      </c>
      <c r="E23">
        <v>8</v>
      </c>
      <c r="F23">
        <v>0</v>
      </c>
      <c r="G23" s="16" t="s">
        <v>12</v>
      </c>
      <c r="H23">
        <v>2</v>
      </c>
      <c r="I23">
        <v>0</v>
      </c>
      <c r="K23" s="23"/>
      <c r="L23" s="23"/>
      <c r="M23" s="23"/>
      <c r="N23" s="23"/>
    </row>
    <row r="24" spans="1:14" ht="15.75" customHeight="1" x14ac:dyDescent="0.15">
      <c r="A24" s="16" t="s">
        <v>10</v>
      </c>
      <c r="B24">
        <v>8</v>
      </c>
      <c r="C24">
        <v>0</v>
      </c>
      <c r="D24" s="16" t="s">
        <v>11</v>
      </c>
      <c r="E24">
        <v>9</v>
      </c>
      <c r="F24">
        <v>0</v>
      </c>
      <c r="G24" s="16" t="s">
        <v>12</v>
      </c>
      <c r="H24">
        <v>1.2</v>
      </c>
      <c r="I24">
        <v>0</v>
      </c>
      <c r="K24" s="23"/>
      <c r="L24" s="23"/>
      <c r="M24" s="23"/>
      <c r="N24" s="23"/>
    </row>
    <row r="25" spans="1:14" ht="15.75" customHeight="1" x14ac:dyDescent="0.15">
      <c r="A25" s="16" t="s">
        <v>10</v>
      </c>
      <c r="B25">
        <v>7</v>
      </c>
      <c r="C25">
        <v>0</v>
      </c>
      <c r="D25" s="16" t="s">
        <v>11</v>
      </c>
      <c r="E25">
        <v>8</v>
      </c>
      <c r="F25">
        <v>0</v>
      </c>
      <c r="G25" s="16" t="s">
        <v>12</v>
      </c>
      <c r="H25">
        <v>3.3</v>
      </c>
      <c r="I25">
        <v>0</v>
      </c>
    </row>
    <row r="26" spans="1:14" ht="15.75" customHeight="1" x14ac:dyDescent="0.15">
      <c r="A26" s="16" t="s">
        <v>10</v>
      </c>
      <c r="B26">
        <v>7</v>
      </c>
      <c r="C26">
        <v>0</v>
      </c>
      <c r="D26" s="16" t="s">
        <v>11</v>
      </c>
      <c r="E26">
        <v>8</v>
      </c>
      <c r="F26" s="19">
        <v>-0.5</v>
      </c>
      <c r="G26" s="16" t="s">
        <v>12</v>
      </c>
      <c r="H26">
        <v>4</v>
      </c>
      <c r="I26">
        <v>0</v>
      </c>
    </row>
    <row r="27" spans="1:14" ht="15.75" customHeight="1" x14ac:dyDescent="0.15">
      <c r="A27" s="16" t="s">
        <v>10</v>
      </c>
      <c r="B27">
        <v>7</v>
      </c>
      <c r="C27">
        <v>0</v>
      </c>
      <c r="D27" s="16" t="s">
        <v>11</v>
      </c>
      <c r="E27">
        <v>10</v>
      </c>
      <c r="F27">
        <v>0</v>
      </c>
      <c r="G27" s="16" t="s">
        <v>12</v>
      </c>
      <c r="H27">
        <v>3</v>
      </c>
      <c r="I27">
        <v>0</v>
      </c>
    </row>
    <row r="29" spans="1:14" ht="15.75" customHeight="1" x14ac:dyDescent="0.15">
      <c r="A29" s="14" t="s">
        <v>42</v>
      </c>
      <c r="D29" s="14" t="s">
        <v>42</v>
      </c>
      <c r="G29" s="14" t="s">
        <v>42</v>
      </c>
    </row>
    <row r="30" spans="1:14" ht="15.75" customHeight="1" x14ac:dyDescent="0.15">
      <c r="A30" s="17" t="s">
        <v>10</v>
      </c>
      <c r="B30">
        <v>7</v>
      </c>
      <c r="C30">
        <v>0</v>
      </c>
      <c r="D30" s="17" t="s">
        <v>11</v>
      </c>
      <c r="E30">
        <v>8</v>
      </c>
      <c r="F30">
        <v>0</v>
      </c>
      <c r="G30" s="17" t="s">
        <v>12</v>
      </c>
      <c r="H30">
        <v>3</v>
      </c>
      <c r="I30">
        <v>0</v>
      </c>
    </row>
    <row r="31" spans="1:14" ht="15.75" customHeight="1" x14ac:dyDescent="0.15">
      <c r="A31" s="17" t="s">
        <v>10</v>
      </c>
      <c r="B31">
        <v>6</v>
      </c>
      <c r="C31">
        <v>0</v>
      </c>
      <c r="D31" s="17" t="s">
        <v>11</v>
      </c>
      <c r="E31">
        <v>9</v>
      </c>
      <c r="F31">
        <v>0</v>
      </c>
      <c r="G31" s="17" t="s">
        <v>12</v>
      </c>
      <c r="H31">
        <v>3</v>
      </c>
      <c r="I31">
        <v>0</v>
      </c>
    </row>
    <row r="32" spans="1:14" ht="15.75" customHeight="1" x14ac:dyDescent="0.15">
      <c r="A32" s="17" t="s">
        <v>10</v>
      </c>
      <c r="B32">
        <v>7.3</v>
      </c>
      <c r="C32">
        <v>0</v>
      </c>
      <c r="D32" s="17" t="s">
        <v>11</v>
      </c>
      <c r="E32">
        <v>8</v>
      </c>
      <c r="F32">
        <v>0</v>
      </c>
      <c r="G32" s="17" t="s">
        <v>12</v>
      </c>
      <c r="H32">
        <v>3</v>
      </c>
      <c r="I32">
        <v>0</v>
      </c>
    </row>
    <row r="33" spans="1:9" ht="15.75" customHeight="1" x14ac:dyDescent="0.15">
      <c r="A33" s="17" t="s">
        <v>10</v>
      </c>
      <c r="B33">
        <v>6</v>
      </c>
      <c r="C33">
        <v>0</v>
      </c>
      <c r="D33" s="17" t="s">
        <v>11</v>
      </c>
      <c r="E33">
        <v>8</v>
      </c>
      <c r="F33">
        <v>0</v>
      </c>
      <c r="G33" s="17" t="s">
        <v>12</v>
      </c>
      <c r="H33">
        <v>3.5</v>
      </c>
      <c r="I33">
        <v>0</v>
      </c>
    </row>
    <row r="34" spans="1:9" ht="15.75" customHeight="1" x14ac:dyDescent="0.15">
      <c r="A34" s="17" t="s">
        <v>10</v>
      </c>
      <c r="B34">
        <v>6</v>
      </c>
      <c r="C34">
        <v>0</v>
      </c>
      <c r="D34" s="17" t="s">
        <v>11</v>
      </c>
      <c r="E34">
        <v>9</v>
      </c>
      <c r="F34">
        <v>0</v>
      </c>
      <c r="G34" s="17" t="s">
        <v>12</v>
      </c>
      <c r="H34">
        <v>4</v>
      </c>
      <c r="I34">
        <v>0</v>
      </c>
    </row>
    <row r="35" spans="1:9" ht="15.75" customHeight="1" x14ac:dyDescent="0.15">
      <c r="A35" s="17" t="s">
        <v>10</v>
      </c>
      <c r="B35">
        <v>6.5</v>
      </c>
      <c r="C35">
        <v>0</v>
      </c>
      <c r="D35" s="17" t="s">
        <v>11</v>
      </c>
      <c r="E35">
        <v>9</v>
      </c>
      <c r="F35">
        <v>0</v>
      </c>
      <c r="G35" s="17" t="s">
        <v>12</v>
      </c>
      <c r="H35">
        <v>2</v>
      </c>
      <c r="I35">
        <v>0</v>
      </c>
    </row>
    <row r="36" spans="1:9" ht="15.75" customHeight="1" x14ac:dyDescent="0.15">
      <c r="A36" s="17" t="s">
        <v>10</v>
      </c>
      <c r="B36">
        <v>6</v>
      </c>
      <c r="C36">
        <v>0</v>
      </c>
      <c r="D36" s="17" t="s">
        <v>11</v>
      </c>
      <c r="E36">
        <v>8</v>
      </c>
      <c r="F36">
        <v>0</v>
      </c>
      <c r="G36" s="17" t="s">
        <v>12</v>
      </c>
      <c r="H36">
        <v>3</v>
      </c>
      <c r="I36">
        <v>0</v>
      </c>
    </row>
    <row r="37" spans="1:9" ht="15.75" customHeight="1" x14ac:dyDescent="0.15">
      <c r="A37" s="17" t="s">
        <v>10</v>
      </c>
      <c r="B37">
        <v>6</v>
      </c>
      <c r="C37">
        <v>0</v>
      </c>
      <c r="D37" s="17" t="s">
        <v>11</v>
      </c>
      <c r="E37">
        <v>7</v>
      </c>
      <c r="F37">
        <v>0</v>
      </c>
      <c r="G37" s="17" t="s">
        <v>12</v>
      </c>
      <c r="H37">
        <v>2.5</v>
      </c>
      <c r="I37">
        <v>0</v>
      </c>
    </row>
    <row r="38" spans="1:9" ht="15.75" customHeight="1" x14ac:dyDescent="0.15">
      <c r="A38" s="17" t="s">
        <v>10</v>
      </c>
      <c r="B38">
        <v>8.5</v>
      </c>
      <c r="C38">
        <v>0</v>
      </c>
      <c r="D38" s="17" t="s">
        <v>11</v>
      </c>
      <c r="E38">
        <v>8</v>
      </c>
      <c r="F38">
        <v>0</v>
      </c>
      <c r="G38" s="17" t="s">
        <v>12</v>
      </c>
      <c r="H38">
        <v>4</v>
      </c>
      <c r="I38">
        <v>0</v>
      </c>
    </row>
    <row r="39" spans="1:9" ht="15.75" customHeight="1" x14ac:dyDescent="0.15">
      <c r="A39" s="17" t="s">
        <v>10</v>
      </c>
      <c r="B39">
        <v>6</v>
      </c>
      <c r="C39">
        <v>0</v>
      </c>
      <c r="D39" s="17" t="s">
        <v>11</v>
      </c>
      <c r="E39">
        <v>8</v>
      </c>
      <c r="F39">
        <v>0</v>
      </c>
      <c r="G39" s="17" t="s">
        <v>12</v>
      </c>
      <c r="H39">
        <v>2</v>
      </c>
      <c r="I39">
        <v>0</v>
      </c>
    </row>
    <row r="40" spans="1:9" ht="15.75" customHeight="1" x14ac:dyDescent="0.15">
      <c r="A40" s="17" t="s">
        <v>10</v>
      </c>
      <c r="B40">
        <v>6</v>
      </c>
      <c r="C40">
        <v>0</v>
      </c>
      <c r="D40" s="17" t="s">
        <v>11</v>
      </c>
      <c r="E40">
        <v>8</v>
      </c>
      <c r="F40">
        <v>0</v>
      </c>
      <c r="G40" s="17" t="s">
        <v>12</v>
      </c>
      <c r="H40">
        <v>2</v>
      </c>
      <c r="I40">
        <v>0</v>
      </c>
    </row>
    <row r="41" spans="1:9" ht="15.75" customHeight="1" x14ac:dyDescent="0.15">
      <c r="A41" s="17" t="s">
        <v>10</v>
      </c>
      <c r="B41">
        <v>6</v>
      </c>
      <c r="C41">
        <v>0</v>
      </c>
      <c r="D41" s="17" t="s">
        <v>11</v>
      </c>
      <c r="E41">
        <v>8</v>
      </c>
      <c r="F41">
        <v>0</v>
      </c>
      <c r="G41" s="17" t="s">
        <v>12</v>
      </c>
      <c r="H41">
        <v>4</v>
      </c>
      <c r="I41">
        <v>0</v>
      </c>
    </row>
  </sheetData>
  <mergeCells count="2">
    <mergeCell ref="K8:M12"/>
    <mergeCell ref="K14:N24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6663-3B07-214D-ADED-F9743E2B2B70}">
  <dimension ref="A1:Q4"/>
  <sheetViews>
    <sheetView workbookViewId="0">
      <selection activeCell="E11" sqref="E11"/>
    </sheetView>
  </sheetViews>
  <sheetFormatPr baseColWidth="10" defaultRowHeight="13" x14ac:dyDescent="0.15"/>
  <sheetData>
    <row r="1" spans="1:17" ht="18" x14ac:dyDescent="0.2">
      <c r="A1" s="24" t="s">
        <v>53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4" spans="1:17" x14ac:dyDescent="0.15">
      <c r="B4" s="14" t="s">
        <v>61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Shevya Panda</cp:lastModifiedBy>
  <dcterms:created xsi:type="dcterms:W3CDTF">2025-11-03T20:29:23Z</dcterms:created>
  <dcterms:modified xsi:type="dcterms:W3CDTF">2025-12-02T21:57:30Z</dcterms:modified>
</cp:coreProperties>
</file>