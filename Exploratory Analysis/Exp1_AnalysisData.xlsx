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vyapanda/Desktop/personalprojects/PALS_Projects/"/>
    </mc:Choice>
  </mc:AlternateContent>
  <xr:revisionPtr revIDLastSave="0" documentId="13_ncr:1_{577F2F4D-6550-2047-82E6-C92C1E1E0083}" xr6:coauthVersionLast="47" xr6:coauthVersionMax="47" xr10:uidLastSave="{00000000-0000-0000-0000-000000000000}"/>
  <bookViews>
    <workbookView xWindow="1160" yWindow="800" windowWidth="27640" windowHeight="15680" xr2:uid="{7D04B8E7-D956-7B45-BC43-D2728EE71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2" i="1"/>
  <c r="J12" i="1" a="1"/>
  <c r="J12" i="1" s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  <c r="M9" i="1" l="1"/>
  <c r="M4" i="1"/>
  <c r="M12" i="1"/>
  <c r="M10" i="1"/>
  <c r="M13" i="1"/>
  <c r="M8" i="1"/>
  <c r="M5" i="1"/>
  <c r="M6" i="1"/>
  <c r="M7" i="1"/>
  <c r="M3" i="1"/>
  <c r="M11" i="1"/>
  <c r="M2" i="1"/>
  <c r="C4" i="1"/>
  <c r="E4" i="1"/>
  <c r="B11" i="1"/>
  <c r="D12" i="1"/>
  <c r="F12" i="1"/>
  <c r="C3" i="1"/>
  <c r="E3" i="1"/>
  <c r="B2" i="1"/>
  <c r="C8" i="1"/>
  <c r="E8" i="1"/>
  <c r="B8" i="1"/>
  <c r="E5" i="1"/>
  <c r="C5" i="1"/>
  <c r="B7" i="1"/>
  <c r="E6" i="1"/>
  <c r="C6" i="1"/>
  <c r="E10" i="1"/>
  <c r="C10" i="1"/>
  <c r="F13" i="1"/>
  <c r="D13" i="1"/>
  <c r="F5" i="1"/>
  <c r="D5" i="1"/>
  <c r="B9" i="1"/>
  <c r="B6" i="1"/>
  <c r="B10" i="1"/>
  <c r="D10" i="1"/>
  <c r="F10" i="1"/>
  <c r="B4" i="1"/>
  <c r="B12" i="1"/>
  <c r="E11" i="1"/>
  <c r="C11" i="1"/>
  <c r="C7" i="1"/>
  <c r="E7" i="1"/>
  <c r="D11" i="1"/>
  <c r="F11" i="1"/>
  <c r="E9" i="1"/>
  <c r="C9" i="1"/>
  <c r="E13" i="1"/>
  <c r="C13" i="1"/>
  <c r="D3" i="1"/>
  <c r="F3" i="1"/>
  <c r="D2" i="1"/>
  <c r="F2" i="1"/>
  <c r="F8" i="1"/>
  <c r="D8" i="1"/>
  <c r="E12" i="1"/>
  <c r="C12" i="1"/>
  <c r="B5" i="1"/>
  <c r="B3" i="1"/>
  <c r="D7" i="1"/>
  <c r="F7" i="1"/>
  <c r="D4" i="1"/>
  <c r="F4" i="1"/>
  <c r="E2" i="1"/>
  <c r="C2" i="1"/>
  <c r="F6" i="1"/>
  <c r="D6" i="1"/>
  <c r="B13" i="1"/>
  <c r="F9" i="1"/>
  <c r="D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<sst xmlns="http://schemas.openxmlformats.org/spreadsheetml/2006/main" count="25" uniqueCount="25">
  <si>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Patient ID</t>
  </si>
  <si>
    <t>Avg_Baseline_RiskScore</t>
  </si>
  <si>
    <t>Avg_add6_RiskScore</t>
  </si>
  <si>
    <t>Avg_add1_RiskScore</t>
  </si>
  <si>
    <t>Mean_Delta_Risk-add6</t>
  </si>
  <si>
    <t>Mean_Delta_Risk-add1</t>
  </si>
  <si>
    <t>sd_Baseline</t>
  </si>
  <si>
    <t>sd_add_6</t>
  </si>
  <si>
    <t>sd_add_1</t>
  </si>
  <si>
    <t>P00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</si>
  <si>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</si>
  <si>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</si>
  <si>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</si>
  <si>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</si>
  <si>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</si>
  <si>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</si>
  <si>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</si>
  <si>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</si>
  <si>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</si>
  <si>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</si>
  <si>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</si>
  <si>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Var_Baseline</t>
  </si>
  <si>
    <t>Var_add_6</t>
  </si>
  <si>
    <t>Var_add_1</t>
  </si>
  <si>
    <t>Variance_Ratio = (sd_add_6^2) / (sd_Baseline^2)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</si>
</sst>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71FB-A275-4E4E-B40D-B1F7F1D2B79A}">
  <dimension ref="A1:M13"/>
  <sheetViews>
    <sheetView tabSelected="1" workbookViewId="0">
      <selection activeCell="D2" sqref="D2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5" t="s">
        <v>21</v>
      </c>
      <c r="K1" s="5" t="s">
        <v>22</v>
      </c>
      <c r="L1" s="5" t="s">
        <v>23</v>
      </c>
      <c r="M1" s="7" t="s">
        <v>24</v>
      </c>
    </row>
    <row r="2" spans="1:13" x14ac:dyDescent="0.2">
      <c r="A2" s="3" t="s">
        <v>9</v>
      </c>
      <c r="B2" s="2">
        <f t="shared" ref="B2:B13" ca="1" si="0">AVERAGEIF($A:$A, A2, $B:$B)</f>
        <v>5.3</v>
      </c>
      <c r="C2" s="2">
        <f t="shared" ref="C2:C13" ca="1" si="1">AVERAGEIF($A:$A, A2, $C:$C)</f>
        <v>7.8</v>
      </c>
      <c r="D2" s="2">
        <f t="shared" ref="D2:D13" ca="1" si="2">AVERAGEIF($A:$A, A2, $D:$D)</f>
        <v>6.2</v>
      </c>
      <c r="E2" s="4">
        <f ca="1">ABS(C2 - B2)</f>
        <v>2.5</v>
      </c>
      <c r="F2" s="4">
        <f ca="1">ABS(D2-B2)</f>
        <v>0.90000000000000036</v>
      </c>
      <c r="G2" s="2">
        <f ca="1">IFERROR(__xludf.DUMMYFUNCTION("STDEV.S(FILTER($B$2:$B$999, $A$2:$A$999 = F2))"),0.273861278752583)</f>
        <v>0.27386127875258298</v>
      </c>
      <c r="H2" s="2">
        <f ca="1">IFERROR(__xludf.DUMMYFUNCTION("STDEV.S(FILTER($C$2:$C$999, $A$2:$A$999 = F2))"),1.64316767251549)</f>
        <v>1.64316767251549</v>
      </c>
      <c r="I2" s="2">
        <f ca="1">IFERROR(__xludf.DUMMYFUNCTION("STDEV.S(FILTER($D$2:$D$999, $A$2:$A$999 = F2))"),1.03682206766638)</f>
        <v>1.03682206766638</v>
      </c>
      <c r="J2" s="6">
        <f ca="1">IFERROR(__xludf.DUMMYFUNCTION("VAR.S(FILTER($B$2:$B$999, $A$2:$A$999 = F2))"),0.075)</f>
        <v>7.4999999999999997E-2</v>
      </c>
      <c r="K2" s="5">
        <f ca="1">IFERROR(__xludf.DUMMYFUNCTION("VAR.S(FILTER($C$2:$C$999, $A$2:$A$999 = F2))"),2.7)</f>
        <v>2.7</v>
      </c>
      <c r="L2" s="5">
        <f ca="1">IFERROR(__xludf.DUMMYFUNCTION("VAR.S(FILTER($D$2:$D$999, $A$2:$A$999 = F2))"),1.075)</f>
        <v>1.075</v>
      </c>
      <c r="M2">
        <f ca="1" xml:space="preserve">  (H2^2)/(G2^2)</f>
        <v>35.999999999999659</v>
      </c>
    </row>
    <row r="3" spans="1:13" x14ac:dyDescent="0.2">
      <c r="A3" s="3" t="s">
        <v>10</v>
      </c>
      <c r="B3" s="2">
        <f t="shared" ca="1" si="0"/>
        <v>8.02</v>
      </c>
      <c r="C3" s="2">
        <f t="shared" ca="1" si="1"/>
        <v>9.4</v>
      </c>
      <c r="D3" s="2">
        <f t="shared" ca="1" si="2"/>
        <v>9.1</v>
      </c>
      <c r="E3" s="4">
        <f t="shared" ref="E3:E13" ca="1" si="3">ABS(C3 - B3)</f>
        <v>1.3800000000000008</v>
      </c>
      <c r="F3" s="4">
        <f t="shared" ref="F3:F13" ca="1" si="4">ABS(D3-B3)</f>
        <v>1.08</v>
      </c>
      <c r="G3" s="2">
        <f ca="1">IFERROR(__xludf.DUMMYFUNCTION("STDEV.S(FILTER($B$2:$B$999, $A$2:$A$999 = F3))"),0.204939015319191)</f>
        <v>0.20493901531919101</v>
      </c>
      <c r="H3" s="2">
        <f ca="1">IFERROR(__xludf.DUMMYFUNCTION("STDEV.S(FILTER($C$2:$C$999, $A$2:$A$999 = F3))"),0.547722557505166)</f>
        <v>0.54772255750516596</v>
      </c>
      <c r="I3" s="2">
        <f ca="1">IFERROR(__xludf.DUMMYFUNCTION("STDEV.S(FILTER($D$2:$D$999, $A$2:$A$999 = F3))"),0.741619848709566)</f>
        <v>0.74161984870956599</v>
      </c>
      <c r="J3" s="6">
        <f ca="1">IFERROR(__xludf.DUMMYFUNCTION("VAR.S(FILTER($B$2:$B$999, $A$2:$A$999 = F3))"),0.0419999999999998)</f>
        <v>4.1999999999999801E-2</v>
      </c>
      <c r="K3" s="5">
        <f ca="1">IFERROR(__xludf.DUMMYFUNCTION("VAR.S(FILTER($C$2:$C$999, $A$2:$A$999 = F3))"),0.3)</f>
        <v>0.3</v>
      </c>
      <c r="L3" s="5">
        <f ca="1">IFERROR(__xludf.DUMMYFUNCTION("VAR.S(FILTER($D$2:$D$999, $A$2:$A$999 = F3))"),0.55)</f>
        <v>0.55000000000000004</v>
      </c>
      <c r="M3">
        <f t="shared" ref="M3:M13" ca="1" si="5" xml:space="preserve">  (H3^2)/(G3^2)</f>
        <v>7.1428571428572054</v>
      </c>
    </row>
    <row r="4" spans="1:13" x14ac:dyDescent="0.2">
      <c r="A4" s="3" t="s">
        <v>11</v>
      </c>
      <c r="B4" s="2">
        <f t="shared" ca="1" si="0"/>
        <v>2.44</v>
      </c>
      <c r="C4" s="2">
        <f t="shared" ca="1" si="1"/>
        <v>3.04</v>
      </c>
      <c r="D4" s="2">
        <f t="shared" ca="1" si="2"/>
        <v>1.8</v>
      </c>
      <c r="E4" s="4">
        <f t="shared" ca="1" si="3"/>
        <v>0.60000000000000009</v>
      </c>
      <c r="F4" s="4">
        <f t="shared" ca="1" si="4"/>
        <v>0.6399999999999999</v>
      </c>
      <c r="G4" s="2">
        <f ca="1">IFERROR(__xludf.DUMMYFUNCTION("STDEV.S(FILTER($B$2:$B$999, $A$2:$A$999 = F4))"),0.606630035524124)</f>
        <v>0.60663003552412398</v>
      </c>
      <c r="H4" s="2">
        <f ca="1">IFERROR(__xludf.DUMMYFUNCTION("STDEV.S(FILTER($C$2:$C$999, $A$2:$A$999 = F4))"),1.51921032118663)</f>
        <v>1.5192103211866299</v>
      </c>
      <c r="I4" s="2">
        <f ca="1">IFERROR(__xludf.DUMMYFUNCTION("STDEV.S(FILTER($D$2:$D$999, $A$2:$A$999 = F4))"),0.447213595499957)</f>
        <v>0.44721359549995698</v>
      </c>
      <c r="J4" s="6">
        <f ca="1">IFERROR(__xludf.DUMMYFUNCTION("VAR.S(FILTER($B$2:$B$999, $A$2:$A$999 = F4))"),0.368)</f>
        <v>0.36799999999999999</v>
      </c>
      <c r="K4" s="5">
        <f ca="1">IFERROR(__xludf.DUMMYFUNCTION("VAR.S(FILTER($C$2:$C$999, $A$2:$A$999 = F4))"),2.308)</f>
        <v>2.3079999999999998</v>
      </c>
      <c r="L4" s="5">
        <f ca="1">IFERROR(__xludf.DUMMYFUNCTION("VAR.S(FILTER($D$2:$D$999, $A$2:$A$999 = F4))"),0.2)</f>
        <v>0.2</v>
      </c>
      <c r="M4">
        <f t="shared" ca="1" si="5"/>
        <v>6.2717391304347387</v>
      </c>
    </row>
    <row r="5" spans="1:13" x14ac:dyDescent="0.2">
      <c r="A5" s="3" t="s">
        <v>12</v>
      </c>
      <c r="B5" s="2">
        <f t="shared" ca="1" si="0"/>
        <v>9</v>
      </c>
      <c r="C5" s="2">
        <f t="shared" ca="1" si="1"/>
        <v>7.6</v>
      </c>
      <c r="D5" s="2">
        <f t="shared" ca="1" si="2"/>
        <v>7.4</v>
      </c>
      <c r="E5" s="4">
        <f t="shared" ca="1" si="3"/>
        <v>1.4000000000000004</v>
      </c>
      <c r="F5" s="4">
        <f t="shared" ca="1" si="4"/>
        <v>1.5999999999999996</v>
      </c>
      <c r="G5" s="2">
        <f ca="1">IFERROR(__xludf.DUMMYFUNCTION("STDEV.S(FILTER($B$2:$B$999, $A$2:$A$999 = F5))"),0.612372435695794)</f>
        <v>0.61237243569579403</v>
      </c>
      <c r="H5" s="2">
        <f ca="1">IFERROR(__xludf.DUMMYFUNCTION("STDEV.S(FILTER($C$2:$C$999, $A$2:$A$999 = F5))"),1.15974135047432)</f>
        <v>1.1597413504743199</v>
      </c>
      <c r="I5" s="2">
        <f ca="1">IFERROR(__xludf.DUMMYFUNCTION("STDEV.S(FILTER($D$2:$D$999, $A$2:$A$999 = F5))"),0.651920240520265)</f>
        <v>0.65192024052026498</v>
      </c>
      <c r="J5" s="6">
        <f ca="1">IFERROR(__xludf.DUMMYFUNCTION("VAR.S(FILTER($B$2:$B$999, $A$2:$A$999 = F5))"),0.375)</f>
        <v>0.375</v>
      </c>
      <c r="K5" s="5">
        <f ca="1">IFERROR(__xludf.DUMMYFUNCTION("VAR.S(FILTER($C$2:$C$999, $A$2:$A$999 = F5))"),1.34499999999999)</f>
        <v>1.34499999999999</v>
      </c>
      <c r="L5" s="5">
        <f ca="1">IFERROR(__xludf.DUMMYFUNCTION("VAR.S(FILTER($D$2:$D$999, $A$2:$A$999 = F5))"),0.425)</f>
        <v>0.42499999999999999</v>
      </c>
      <c r="M5">
        <f t="shared" ca="1" si="5"/>
        <v>3.5866666666666704</v>
      </c>
    </row>
    <row r="6" spans="1:13" x14ac:dyDescent="0.2">
      <c r="A6" s="3" t="s">
        <v>13</v>
      </c>
      <c r="B6" s="2">
        <f t="shared" ca="1" si="0"/>
        <v>6.5200000000000005</v>
      </c>
      <c r="C6" s="2">
        <f t="shared" ca="1" si="1"/>
        <v>6.3199999999999994</v>
      </c>
      <c r="D6" s="2">
        <f t="shared" ca="1" si="2"/>
        <v>7.1</v>
      </c>
      <c r="E6" s="4">
        <f t="shared" ca="1" si="3"/>
        <v>0.20000000000000107</v>
      </c>
      <c r="F6" s="4">
        <f t="shared" ca="1" si="4"/>
        <v>0.57999999999999918</v>
      </c>
      <c r="G6" s="2">
        <f ca="1">IFERROR(__xludf.DUMMYFUNCTION("STDEV.S(FILTER($B$2:$B$999, $A$2:$A$999 = F6))"),0.641872261435248)</f>
        <v>0.641872261435248</v>
      </c>
      <c r="H6" s="2">
        <f ca="1">IFERROR(__xludf.DUMMYFUNCTION("STDEV.S(FILTER($C$2:$C$999, $A$2:$A$999 = F6))"),1.71668284782017)</f>
        <v>1.7166828478201701</v>
      </c>
      <c r="I6" s="2">
        <f ca="1">IFERROR(__xludf.DUMMYFUNCTION("STDEV.S(FILTER($D$2:$D$999, $A$2:$A$999 = F6))"),0.494974746830583)</f>
        <v>0.49497474683058301</v>
      </c>
      <c r="J6" s="6">
        <f ca="1">IFERROR(__xludf.DUMMYFUNCTION("VAR.S(FILTER($B$2:$B$999, $A$2:$A$999 = F6))"),0.412)</f>
        <v>0.41199999999999998</v>
      </c>
      <c r="K6" s="5">
        <f ca="1">IFERROR(__xludf.DUMMYFUNCTION("VAR.S(FILTER($C$2:$C$999, $A$2:$A$999 = F6))"),2.947)</f>
        <v>2.9470000000000001</v>
      </c>
      <c r="L6" s="5">
        <f ca="1">IFERROR(__xludf.DUMMYFUNCTION("VAR.S(FILTER($D$2:$D$999, $A$2:$A$999 = F6))"),0.245)</f>
        <v>0.245</v>
      </c>
      <c r="M6">
        <f t="shared" ca="1" si="5"/>
        <v>7.1529126213591603</v>
      </c>
    </row>
    <row r="7" spans="1:13" x14ac:dyDescent="0.2">
      <c r="A7" s="3" t="s">
        <v>14</v>
      </c>
      <c r="B7" s="2">
        <f t="shared" ca="1" si="0"/>
        <v>5.8</v>
      </c>
      <c r="C7" s="2">
        <f t="shared" ca="1" si="1"/>
        <v>6.8400000000000007</v>
      </c>
      <c r="D7" s="2">
        <f t="shared" ca="1" si="2"/>
        <v>7.2</v>
      </c>
      <c r="E7" s="4">
        <f t="shared" ca="1" si="3"/>
        <v>1.0400000000000009</v>
      </c>
      <c r="F7" s="4">
        <f t="shared" ca="1" si="4"/>
        <v>1.4000000000000004</v>
      </c>
      <c r="G7" s="2">
        <f ca="1">IFERROR(__xludf.DUMMYFUNCTION("STDEV.S(FILTER($B$2:$B$999, $A$2:$A$999 = F7))"),0.447213595499958)</f>
        <v>0.44721359549995798</v>
      </c>
      <c r="H7" s="2">
        <f ca="1">IFERROR(__xludf.DUMMYFUNCTION("STDEV.S(FILTER($C$2:$C$999, $A$2:$A$999 = F7))"),0.909945053286185)</f>
        <v>0.90994505328618502</v>
      </c>
      <c r="I7" s="2">
        <f ca="1">IFERROR(__xludf.DUMMYFUNCTION("STDEV.S(FILTER($D$2:$D$999, $A$2:$A$999 = F7))"),1.30384048104052)</f>
        <v>1.30384048104052</v>
      </c>
      <c r="J7" s="6">
        <f ca="1">IFERROR(__xludf.DUMMYFUNCTION("VAR.S(FILTER($B$2:$B$999, $A$2:$A$999 = F7))"),0.2)</f>
        <v>0.2</v>
      </c>
      <c r="K7" s="5">
        <f ca="1">IFERROR(__xludf.DUMMYFUNCTION("VAR.S(FILTER($C$2:$C$999, $A$2:$A$999 = F7))"),0.827999999999999)</f>
        <v>0.82799999999999896</v>
      </c>
      <c r="L7" s="5">
        <f ca="1">IFERROR(__xludf.DUMMYFUNCTION("VAR.S(FILTER($D$2:$D$999, $A$2:$A$999 = F7))"),1.7)</f>
        <v>1.7</v>
      </c>
      <c r="M7">
        <f t="shared" ca="1" si="5"/>
        <v>4.1399999999999899</v>
      </c>
    </row>
    <row r="8" spans="1:13" x14ac:dyDescent="0.2">
      <c r="A8" s="3" t="s">
        <v>15</v>
      </c>
      <c r="B8" s="2">
        <f t="shared" ca="1" si="0"/>
        <v>5</v>
      </c>
      <c r="C8" s="2">
        <f t="shared" ca="1" si="1"/>
        <v>4.8</v>
      </c>
      <c r="D8" s="2">
        <f t="shared" ca="1" si="2"/>
        <v>5.3</v>
      </c>
      <c r="E8" s="4">
        <f t="shared" ca="1" si="3"/>
        <v>0.20000000000000018</v>
      </c>
      <c r="F8" s="4">
        <f t="shared" ca="1" si="4"/>
        <v>0.29999999999999982</v>
      </c>
      <c r="G8" s="2">
        <f ca="1">IFERROR(__xludf.DUMMYFUNCTION("STDEV.S(FILTER($B$2:$B$999, $A$2:$A$999 = F8))"),0)</f>
        <v>0</v>
      </c>
      <c r="H8" s="2">
        <f ca="1">IFERROR(__xludf.DUMMYFUNCTION("STDEV.S(FILTER($C$2:$C$999, $A$2:$A$999 = F8))"),1.03682206766638)</f>
        <v>1.03682206766638</v>
      </c>
      <c r="I8" s="2">
        <f ca="1">IFERROR(__xludf.DUMMYFUNCTION("STDEV.S(FILTER($D$2:$D$999, $A$2:$A$999 = F8))"),0.836660026534075)</f>
        <v>0.83666002653407501</v>
      </c>
      <c r="J8" s="6">
        <f ca="1">IFERROR(__xludf.DUMMYFUNCTION("VAR.S(FILTER($B$2:$B$999, $A$2:$A$999 = F8))"),0)</f>
        <v>0</v>
      </c>
      <c r="K8" s="5">
        <f ca="1">IFERROR(__xludf.DUMMYFUNCTION("VAR.S(FILTER($C$2:$C$999, $A$2:$A$999 = F8))"),1.07499999999999)</f>
        <v>1.07499999999999</v>
      </c>
      <c r="L8" s="5">
        <f ca="1">IFERROR(__xludf.DUMMYFUNCTION("VAR.S(FILTER($D$2:$D$999, $A$2:$A$999 = F8))"),0.7)</f>
        <v>0.7</v>
      </c>
      <c r="M8" t="e">
        <f t="shared" ca="1" si="5"/>
        <v>#DIV/0!</v>
      </c>
    </row>
    <row r="9" spans="1:13" x14ac:dyDescent="0.2">
      <c r="A9" s="3" t="s">
        <v>16</v>
      </c>
      <c r="B9" s="2">
        <f t="shared" ca="1" si="0"/>
        <v>7.9</v>
      </c>
      <c r="C9" s="2">
        <f t="shared" ca="1" si="1"/>
        <v>8.34</v>
      </c>
      <c r="D9" s="2">
        <f t="shared" ca="1" si="2"/>
        <v>8</v>
      </c>
      <c r="E9" s="4">
        <f t="shared" ca="1" si="3"/>
        <v>0.4399999999999995</v>
      </c>
      <c r="F9" s="4">
        <f t="shared" ca="1" si="4"/>
        <v>9.9999999999999645E-2</v>
      </c>
      <c r="G9" s="2">
        <f ca="1">IFERROR(__xludf.DUMMYFUNCTION("STDEV.S(FILTER($B$2:$B$999, $A$2:$A$999 = F9))"),0.223606797749979)</f>
        <v>0.22360679774997899</v>
      </c>
      <c r="H9" s="2">
        <f ca="1">IFERROR(__xludf.DUMMYFUNCTION("STDEV.S(FILTER($C$2:$C$999, $A$2:$A$999 = F9))"),1.31453413801239)</f>
        <v>1.3145341380123901</v>
      </c>
      <c r="I9" s="2">
        <f ca="1">IFERROR(__xludf.DUMMYFUNCTION("STDEV.S(FILTER($D$2:$D$999, $A$2:$A$999 = F9))"),0.707106781186547)</f>
        <v>0.70710678118654702</v>
      </c>
      <c r="J9" s="6">
        <f ca="1">IFERROR(__xludf.DUMMYFUNCTION("VAR.S(FILTER($B$2:$B$999, $A$2:$A$999 = F9))"),0.05)</f>
        <v>0.05</v>
      </c>
      <c r="K9" s="5">
        <f ca="1">IFERROR(__xludf.DUMMYFUNCTION("VAR.S(FILTER($C$2:$C$999, $A$2:$A$999 = F9))"),1.72799999999999)</f>
        <v>1.72799999999999</v>
      </c>
      <c r="L9" s="5">
        <f ca="1">IFERROR(__xludf.DUMMYFUNCTION("VAR.S(FILTER($D$2:$D$999, $A$2:$A$999 = F9))"),0.5)</f>
        <v>0.5</v>
      </c>
      <c r="M9">
        <f t="shared" ca="1" si="5"/>
        <v>34.55999999999954</v>
      </c>
    </row>
    <row r="10" spans="1:13" x14ac:dyDescent="0.2">
      <c r="A10" s="3" t="s">
        <v>17</v>
      </c>
      <c r="B10" s="2">
        <f t="shared" ca="1" si="0"/>
        <v>6.2</v>
      </c>
      <c r="C10" s="2">
        <f t="shared" ca="1" si="1"/>
        <v>6.24</v>
      </c>
      <c r="D10" s="2">
        <f t="shared" ca="1" si="2"/>
        <v>7.5</v>
      </c>
      <c r="E10" s="4">
        <f t="shared" ca="1" si="3"/>
        <v>4.0000000000000036E-2</v>
      </c>
      <c r="F10" s="4">
        <f t="shared" ca="1" si="4"/>
        <v>1.2999999999999998</v>
      </c>
      <c r="G10" s="2">
        <f ca="1">IFERROR(__xludf.DUMMYFUNCTION("STDEV.S(FILTER($B$2:$B$999, $A$2:$A$999 = F10))"),0.447213595499957)</f>
        <v>0.44721359549995698</v>
      </c>
      <c r="H10" s="2">
        <f ca="1">IFERROR(__xludf.DUMMYFUNCTION("STDEV.S(FILTER($C$2:$C$999, $A$2:$A$999 = F10))"),0.829457654133108)</f>
        <v>0.82945765413310801</v>
      </c>
      <c r="I10" s="2">
        <f ca="1">IFERROR(__xludf.DUMMYFUNCTION("STDEV.S(FILTER($D$2:$D$999, $A$2:$A$999 = F10))"),1.22474487139158)</f>
        <v>1.2247448713915801</v>
      </c>
      <c r="J10" s="6">
        <f ca="1">IFERROR(__xludf.DUMMYFUNCTION("VAR.S(FILTER($B$2:$B$999, $A$2:$A$999 = F10))"),0.2)</f>
        <v>0.2</v>
      </c>
      <c r="K10" s="5">
        <f ca="1">IFERROR(__xludf.DUMMYFUNCTION("VAR.S(FILTER($C$2:$C$999, $A$2:$A$999 = F10))"),0.687999999999999)</f>
        <v>0.68799999999999895</v>
      </c>
      <c r="L10" s="5">
        <f ca="1">IFERROR(__xludf.DUMMYFUNCTION("VAR.S(FILTER($D$2:$D$999, $A$2:$A$999 = F10))"),1.5)</f>
        <v>1.5</v>
      </c>
      <c r="M10">
        <f t="shared" ca="1" si="5"/>
        <v>3.4400000000000075</v>
      </c>
    </row>
    <row r="11" spans="1:13" x14ac:dyDescent="0.2">
      <c r="A11" s="3" t="s">
        <v>18</v>
      </c>
      <c r="B11" s="2">
        <f t="shared" ca="1" si="0"/>
        <v>5.5</v>
      </c>
      <c r="C11" s="2">
        <f t="shared" ca="1" si="1"/>
        <v>5.84</v>
      </c>
      <c r="D11" s="2">
        <f t="shared" ca="1" si="2"/>
        <v>5.8</v>
      </c>
      <c r="E11" s="4">
        <f t="shared" ca="1" si="3"/>
        <v>0.33999999999999986</v>
      </c>
      <c r="F11" s="4">
        <f t="shared" ca="1" si="4"/>
        <v>0.29999999999999982</v>
      </c>
      <c r="G11" s="2">
        <f ca="1">IFERROR(__xludf.DUMMYFUNCTION("STDEV.S(FILTER($B$2:$B$999, $A$2:$A$999 = F11))"),0.5)</f>
        <v>0.5</v>
      </c>
      <c r="H11" s="2">
        <f ca="1">IFERROR(__xludf.DUMMYFUNCTION("STDEV.S(FILTER($C$2:$C$999, $A$2:$A$999 = F11))"),1.651665825765)</f>
        <v>1.6516658257650001</v>
      </c>
      <c r="I11" s="2">
        <f ca="1">IFERROR(__xludf.DUMMYFUNCTION("STDEV.S(FILTER($D$2:$D$999, $A$2:$A$999 = F11))"),1.30384048104052)</f>
        <v>1.30384048104052</v>
      </c>
      <c r="J11" s="6">
        <f ca="1">IFERROR(__xludf.DUMMYFUNCTION("VAR.S(FILTER($B$2:$B$999, $A$2:$A$999 = F11))"),0.25)</f>
        <v>0.25</v>
      </c>
      <c r="K11" s="5">
        <f ca="1">IFERROR(__xludf.DUMMYFUNCTION("VAR.S(FILTER($C$2:$C$999, $A$2:$A$999 = F11))"),2.728)</f>
        <v>2.7280000000000002</v>
      </c>
      <c r="L11" s="5">
        <f ca="1">IFERROR(__xludf.DUMMYFUNCTION("VAR.S(FILTER($D$2:$D$999, $A$2:$A$999 = F11))"),1.69999999999999)</f>
        <v>1.69999999999999</v>
      </c>
      <c r="M11">
        <f t="shared" ca="1" si="5"/>
        <v>10.911999999999919</v>
      </c>
    </row>
    <row r="12" spans="1:13" x14ac:dyDescent="0.2">
      <c r="A12" s="3" t="s">
        <v>19</v>
      </c>
      <c r="B12" s="2">
        <f t="shared" ca="1" si="0"/>
        <v>5.0999999999999996</v>
      </c>
      <c r="C12" s="2">
        <f t="shared" ca="1" si="1"/>
        <v>4.2</v>
      </c>
      <c r="D12" s="2">
        <f t="shared" ca="1" si="2"/>
        <v>4.4000000000000004</v>
      </c>
      <c r="E12" s="4">
        <f t="shared" ca="1" si="3"/>
        <v>0.89999999999999947</v>
      </c>
      <c r="F12" s="4">
        <f t="shared" ca="1" si="4"/>
        <v>0.69999999999999929</v>
      </c>
      <c r="G12" s="2">
        <f ca="1">IFERROR(__xludf.DUMMYFUNCTION("STDEV.S(FILTER($B$2:$B$999, $A$2:$A$999 = F12))"),0.651920240520264)</f>
        <v>0.65192024052026398</v>
      </c>
      <c r="H12" s="2">
        <f ca="1">IFERROR(__xludf.DUMMYFUNCTION("STDEV.S(FILTER($C$2:$C$999, $A$2:$A$999 = F12))"),2.48997991959774)</f>
        <v>2.4899799195977401</v>
      </c>
      <c r="I12" s="2">
        <f ca="1">IFERROR(__xludf.DUMMYFUNCTION("STDEV.S(FILTER($D$2:$D$999, $A$2:$A$999 = F12))"),0.547722557505166)</f>
        <v>0.54772255750516596</v>
      </c>
      <c r="J12" s="6" cm="1">
        <f t="array" aca="1" ref="J12" ca="1">IFERROR(__xludf.DUMMYFUNCTION("VAR.S(FILTER($B$2:$B$999, $A$2:$A$999 = F12))"),0.425)</f>
        <v>0.42499999999999999</v>
      </c>
      <c r="K12" s="5">
        <f ca="1">IFERROR(__xludf.DUMMYFUNCTION("VAR.S(FILTER($C$2:$C$999, $A$2:$A$999 = F12))"),6.2)</f>
        <v>6.2</v>
      </c>
      <c r="L12" s="5">
        <f ca="1">IFERROR(__xludf.DUMMYFUNCTION("VAR.S(FILTER($D$2:$D$999, $A$2:$A$999 = F12))"),0.3)</f>
        <v>0.3</v>
      </c>
      <c r="M12">
        <f t="shared" ca="1" si="5"/>
        <v>14.588235294117613</v>
      </c>
    </row>
    <row r="13" spans="1:13" x14ac:dyDescent="0.2">
      <c r="A13" s="3" t="s">
        <v>20</v>
      </c>
      <c r="B13" s="2">
        <f t="shared" ca="1" si="0"/>
        <v>7.4</v>
      </c>
      <c r="C13" s="2">
        <f t="shared" ca="1" si="1"/>
        <v>7.76</v>
      </c>
      <c r="D13" s="2">
        <f t="shared" ca="1" si="2"/>
        <v>7.1</v>
      </c>
      <c r="E13" s="4">
        <f t="shared" ca="1" si="3"/>
        <v>0.35999999999999943</v>
      </c>
      <c r="F13" s="4">
        <f t="shared" ca="1" si="4"/>
        <v>0.30000000000000071</v>
      </c>
      <c r="G13" s="2">
        <f ca="1">IFERROR(__xludf.DUMMYFUNCTION("STDEV.S(FILTER($B$2:$B$999, $A$2:$A$999 = F13))"),0.821583836257749)</f>
        <v>0.821583836257749</v>
      </c>
      <c r="H13" s="2">
        <f ca="1">IFERROR(__xludf.DUMMYFUNCTION("STDEV.S(FILTER($C$2:$C$999, $A$2:$A$999 = F13))"),1.69204018864801)</f>
        <v>1.6920401886480101</v>
      </c>
      <c r="I13" s="2">
        <f ca="1">IFERROR(__xludf.DUMMYFUNCTION("STDEV.S(FILTER($D$2:$D$999, $A$2:$A$999 = F13))"),0.651920240520264)</f>
        <v>0.65192024052026398</v>
      </c>
      <c r="J13" s="8">
        <v>0.67500000000000004</v>
      </c>
      <c r="K13" s="8">
        <v>2.863</v>
      </c>
      <c r="L13" s="8">
        <v>0.42499999999999999</v>
      </c>
      <c r="M13">
        <f t="shared" ca="1" si="5"/>
        <v>4.2414814814814736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Shevya Panda</dc:creator>
  <cp:lastModifiedBy>Shevya Panda</cp:lastModifiedBy>
  <dcterms:created xsi:type="dcterms:W3CDTF">2025-11-07T00:18:41Z</dcterms:created>
  <dcterms:modified xsi:type="dcterms:W3CDTF">2025-11-17T16:04:39Z</dcterms:modified>
</cp:coreProperties>
</file>